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C:\Users\attim\Downloads\"/>
    </mc:Choice>
  </mc:AlternateContent>
  <xr:revisionPtr revIDLastSave="0" documentId="8_{C582FE9B-CF50-4ABD-89B7-D7B88D7917C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機材一覧" sheetId="1" r:id="rId1"/>
  </sheets>
  <definedNames>
    <definedName name="_xlnm._FilterDatabase" localSheetId="0" hidden="1">機材一覧!$A$4:$E$57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1" i="1" l="1"/>
  <c r="L32" i="1"/>
  <c r="E58" i="1"/>
  <c r="L57" i="1"/>
  <c r="L55" i="1"/>
  <c r="L37" i="1"/>
  <c r="L35" i="1"/>
  <c r="L34" i="1"/>
  <c r="L33" i="1"/>
  <c r="L30" i="1"/>
  <c r="L29" i="1"/>
  <c r="L28" i="1"/>
  <c r="L27" i="1"/>
  <c r="L26" i="1"/>
  <c r="L25" i="1"/>
  <c r="L24" i="1"/>
  <c r="L23" i="1"/>
  <c r="L22" i="1"/>
  <c r="L19" i="1"/>
  <c r="L18" i="1"/>
  <c r="L17" i="1"/>
  <c r="L16" i="1"/>
  <c r="L15" i="1"/>
  <c r="L13" i="1"/>
  <c r="L12" i="1"/>
  <c r="L11" i="1"/>
  <c r="L7" i="1"/>
  <c r="L5" i="1"/>
  <c r="L58" i="1" l="1"/>
</calcChain>
</file>

<file path=xl/sharedStrings.xml><?xml version="1.0" encoding="utf-8"?>
<sst xmlns="http://schemas.openxmlformats.org/spreadsheetml/2006/main" count="161" uniqueCount="122">
  <si>
    <t>DAC-NV 機材・部品購入構成表 (NV x DAC Purchase List)</t>
  </si>
  <si>
    <t>システム</t>
  </si>
  <si>
    <t>アイテム名</t>
  </si>
  <si>
    <t>メーカー</t>
  </si>
  <si>
    <t>型番</t>
  </si>
  <si>
    <t>個数</t>
  </si>
  <si>
    <t>発送</t>
  </si>
  <si>
    <t>手持ち</t>
    <rPh sb="0" eb="2">
      <t>テモ</t>
    </rPh>
    <phoneticPr fontId="7"/>
  </si>
  <si>
    <t>現地調達</t>
  </si>
  <si>
    <t>再発注</t>
    <rPh sb="0" eb="3">
      <t>サイハッチュウ</t>
    </rPh>
    <phoneticPr fontId="7"/>
  </si>
  <si>
    <t>備考</t>
    <rPh sb="0" eb="2">
      <t>ビコウ</t>
    </rPh>
    <phoneticPr fontId="7"/>
  </si>
  <si>
    <t>単価（円）</t>
  </si>
  <si>
    <t>金額（円）</t>
  </si>
  <si>
    <t>DACシステム</t>
  </si>
  <si>
    <t>NV注入ダイヤモンドアンビル</t>
    <phoneticPr fontId="7"/>
  </si>
  <si>
    <t>-</t>
  </si>
  <si>
    <t>太田研から2個</t>
    <rPh sb="0" eb="3">
      <t>オオタケン</t>
    </rPh>
    <rPh sb="6" eb="7">
      <t>コ</t>
    </rPh>
    <phoneticPr fontId="7"/>
  </si>
  <si>
    <t>対向ダイヤモンドアンビル</t>
    <rPh sb="0" eb="2">
      <t>タイコウ</t>
    </rPh>
    <phoneticPr fontId="7"/>
  </si>
  <si>
    <t>太田研から2個、（荒井研から1個）</t>
    <rPh sb="0" eb="3">
      <t>オオタケン</t>
    </rPh>
    <rPh sb="6" eb="7">
      <t>コ</t>
    </rPh>
    <rPh sb="9" eb="12">
      <t>アライケン</t>
    </rPh>
    <rPh sb="15" eb="16">
      <t>コ</t>
    </rPh>
    <phoneticPr fontId="7"/>
  </si>
  <si>
    <t>ベリリウム銅DAC</t>
  </si>
  <si>
    <t>荒井研から1個、太田研から1個</t>
    <rPh sb="0" eb="3">
      <t>アライケン</t>
    </rPh>
    <rPh sb="6" eb="7">
      <t>コ</t>
    </rPh>
    <rPh sb="8" eb="11">
      <t>オオタケン</t>
    </rPh>
    <rPh sb="14" eb="15">
      <t>コ</t>
    </rPh>
    <phoneticPr fontId="7"/>
  </si>
  <si>
    <t>ジルコニア台座</t>
  </si>
  <si>
    <t>ガスケット</t>
  </si>
  <si>
    <t>2，3</t>
  </si>
  <si>
    <t>アラルダイト</t>
  </si>
  <si>
    <t>マイクロ波システム</t>
  </si>
  <si>
    <t>白金箔</t>
  </si>
  <si>
    <t>エナメル線</t>
  </si>
  <si>
    <t>SMA同軸ケーブル（長さ609mm）</t>
  </si>
  <si>
    <t>Thorlabs</t>
  </si>
  <si>
    <t>CA2924</t>
  </si>
  <si>
    <t>同軸ケーブルは合計で2個あればいいが、長さ調節のために大小2つずつ準備</t>
  </si>
  <si>
    <t>SMA同軸ケーブル（長さ1219mm）</t>
  </si>
  <si>
    <t>CA1219</t>
  </si>
  <si>
    <t>マイクロ波アンプ</t>
  </si>
  <si>
    <t>Mini-Circuits</t>
  </si>
  <si>
    <t>139-ZHL-16W-43-S</t>
  </si>
  <si>
    <t>信号発生器 (Signal Generator)</t>
  </si>
  <si>
    <t>Windfreak</t>
  </si>
  <si>
    <t>SynthHD</t>
  </si>
  <si>
    <t>アンプ用DC電源</t>
  </si>
  <si>
    <t xml:space="preserve">Kikusui </t>
    <phoneticPr fontId="7"/>
  </si>
  <si>
    <t>PWR401L</t>
  </si>
  <si>
    <t>導波管サーキュレータ</t>
  </si>
  <si>
    <t>Pasternack</t>
  </si>
  <si>
    <t>PE8401</t>
  </si>
  <si>
    <t>導波管ターミネータ</t>
  </si>
  <si>
    <t>ANNE-50+</t>
  </si>
  <si>
    <t>はんだごて</t>
  </si>
  <si>
    <t>テープ</t>
  </si>
  <si>
    <t>光学システム</t>
  </si>
  <si>
    <t>レーザー</t>
  </si>
  <si>
    <t>CNI</t>
  </si>
  <si>
    <t>MLL-S-532B-300mW</t>
  </si>
  <si>
    <t>発注したが届いてない、ハプティクスから借りてる</t>
    <rPh sb="0" eb="2">
      <t>ハッチュウ</t>
    </rPh>
    <rPh sb="5" eb="6">
      <t>トド</t>
    </rPh>
    <rPh sb="19" eb="20">
      <t>カ</t>
    </rPh>
    <phoneticPr fontId="7"/>
  </si>
  <si>
    <t>対物レンズ</t>
  </si>
  <si>
    <t>Mitutoyo</t>
  </si>
  <si>
    <t>M-PLAN APO SL 10X</t>
    <phoneticPr fontId="7"/>
  </si>
  <si>
    <t>ミラー</t>
  </si>
  <si>
    <t>BB1-E02</t>
  </si>
  <si>
    <t>ダイクロイックミラー</t>
  </si>
  <si>
    <t>DMLP567R</t>
  </si>
  <si>
    <t>ロングパスフィルター？</t>
  </si>
  <si>
    <t>FELH0650</t>
  </si>
  <si>
    <t>ビームスプリッター</t>
  </si>
  <si>
    <t>BSN10R</t>
  </si>
  <si>
    <t>アクロマティックダブルレンズ？</t>
  </si>
  <si>
    <t>AC254-200-A-ML</t>
  </si>
  <si>
    <t>広視野ODMR用平凸レンズ</t>
  </si>
  <si>
    <t>LA1509-A</t>
  </si>
  <si>
    <t>焦点距離は光学配置に依存</t>
  </si>
  <si>
    <t>ステージ</t>
  </si>
  <si>
    <t>シグマ光機</t>
    <rPh sb="3" eb="5">
      <t>コウキ</t>
    </rPh>
    <phoneticPr fontId="7"/>
  </si>
  <si>
    <t>NTSD-405C</t>
  </si>
  <si>
    <t>DAC固定器具</t>
    <rPh sb="3" eb="5">
      <t>コテイ</t>
    </rPh>
    <rPh sb="5" eb="7">
      <t>キグ</t>
    </rPh>
    <phoneticPr fontId="7"/>
  </si>
  <si>
    <t>不明</t>
    <rPh sb="0" eb="2">
      <t>フメイ</t>
    </rPh>
    <phoneticPr fontId="7"/>
  </si>
  <si>
    <t>ステージの治具</t>
    <rPh sb="5" eb="7">
      <t>ジグ</t>
    </rPh>
    <phoneticPr fontId="7"/>
  </si>
  <si>
    <t>ミスミ</t>
    <phoneticPr fontId="7"/>
  </si>
  <si>
    <t>オーダーメイド</t>
    <phoneticPr fontId="7"/>
  </si>
  <si>
    <t>落射照明用マウント付きLED</t>
  </si>
  <si>
    <t>M660L4</t>
  </si>
  <si>
    <t>コリメーションアダプター</t>
  </si>
  <si>
    <t>SM1U25-A</t>
  </si>
  <si>
    <t>LEDドライバー</t>
  </si>
  <si>
    <t>LEDD1B</t>
  </si>
  <si>
    <t>LEDドライバー用電源</t>
  </si>
  <si>
    <t>KPS201</t>
  </si>
  <si>
    <t>NDフィルター</t>
  </si>
  <si>
    <t>NE10A-A / NE20A-A</t>
  </si>
  <si>
    <t>クランプフォーク</t>
    <phoneticPr fontId="7"/>
  </si>
  <si>
    <t>CF038</t>
  </si>
  <si>
    <t>CF175</t>
  </si>
  <si>
    <t>ベース</t>
    <phoneticPr fontId="7"/>
  </si>
  <si>
    <t>BE1/M</t>
  </si>
  <si>
    <t>ホルダー</t>
  </si>
  <si>
    <t>PH30/M</t>
  </si>
  <si>
    <t>PH50/M</t>
  </si>
  <si>
    <t>ポスト</t>
    <phoneticPr fontId="7"/>
  </si>
  <si>
    <t>TR75/M</t>
  </si>
  <si>
    <t>TR100/M</t>
  </si>
  <si>
    <t>ミラーマウント</t>
    <phoneticPr fontId="7"/>
  </si>
  <si>
    <t>KM100</t>
  </si>
  <si>
    <t>LMR1/M</t>
  </si>
  <si>
    <t>ケージプレート</t>
  </si>
  <si>
    <t>CP33/M</t>
  </si>
  <si>
    <t>ケージキューブ</t>
  </si>
  <si>
    <t>CM1-DCH/M</t>
  </si>
  <si>
    <t>ケージアセンブリロッド</t>
  </si>
  <si>
    <t>ER3</t>
  </si>
  <si>
    <t>アイリス</t>
    <phoneticPr fontId="7"/>
  </si>
  <si>
    <t>チューブ</t>
  </si>
  <si>
    <t>cMOSとレンズマウントの接続用</t>
  </si>
  <si>
    <t>LEDコリメータとケージの接続用</t>
  </si>
  <si>
    <t>ゴーグル</t>
  </si>
  <si>
    <t>六角レンチ（各サイズ）</t>
  </si>
  <si>
    <t>柱</t>
  </si>
  <si>
    <t>黒い板</t>
  </si>
  <si>
    <t>検出システム</t>
  </si>
  <si>
    <t>CMOSカメラ</t>
  </si>
  <si>
    <t>CS165MU1/M</t>
  </si>
  <si>
    <t>広視野（Wide-field）ODMR観察用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</si>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</sst>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¥#,##0;[Red]\-\¥#,##0;&quot;-&quot;"/>
  </numFmts>
  <fonts count="12">
    <font>
      <sz val="11"/>
      <color theme="1"/>
      <name val="ＭＳ Ｐゴシック"/>
      <family val="2"/>
      <scheme val="minor"/>
    </font>
    <font>
      <b/>
      <sz val="16"/>
      <color rgb="FF1F4E79"/>
      <name val="Yu Gothic"/>
      <family val="3"/>
      <charset val="128"/>
    </font>
    <font>
      <i/>
      <sz val="10"/>
      <color rgb="FF595959"/>
      <name val="Yu Gothic"/>
      <family val="3"/>
      <charset val="128"/>
    </font>
    <font>
      <b/>
      <sz val="11"/>
      <color rgb="FFFFFFFF"/>
      <name val="Yu Gothic"/>
      <family val="3"/>
      <charset val="128"/>
    </font>
    <font>
      <sz val="10"/>
      <name val="Yu Gothic"/>
      <family val="3"/>
      <charset val="128"/>
    </font>
    <font>
      <b/>
      <sz val="10"/>
      <name val="Yu Gothic"/>
      <family val="3"/>
      <charset val="128"/>
    </font>
    <font>
      <b/>
      <sz val="10"/>
      <color rgb="FF1F4E79"/>
      <name val="Yu Gothic"/>
      <family val="3"/>
      <charset val="128"/>
    </font>
    <font>
      <sz val="6"/>
      <name val="ＭＳ Ｐゴシック"/>
      <family val="3"/>
      <charset val="128"/>
      <scheme val="minor"/>
    </font>
    <font>
      <sz val="11"/>
      <color rgb="FF242424"/>
      <name val="Yu Gothic"/>
      <charset val="1"/>
    </font>
    <font>
      <sz val="10"/>
      <color rgb="FF000000"/>
      <name val="Yu Gothic"/>
      <charset val="1"/>
    </font>
    <font>
      <sz val="10"/>
      <color rgb="FFFFFF00"/>
      <name val="Yu Gothic"/>
      <family val="3"/>
      <charset val="128"/>
    </font>
    <font>
      <sz val="10"/>
      <color rgb="FFFFC000"/>
      <name val="Yu Gothic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4F7FA"/>
        <bgColor rgb="FFF4F7FA"/>
      </patternFill>
    </fill>
    <fill>
      <patternFill patternType="solid">
        <fgColor rgb="FFE8EEF5"/>
        <bgColor rgb="FFE8EEF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</fills>
  <borders count="10">
    <border>
      <left/>
      <right/>
      <top/>
      <bottom/>
      <diagonal/>
    </border>
    <border>
      <left style="thin">
        <color rgb="FF1F4E79"/>
      </left>
      <right style="thin">
        <color rgb="FF1F4E79"/>
      </right>
      <top style="medium">
        <color rgb="FF1F4E79"/>
      </top>
      <bottom style="medium">
        <color rgb="FF1F4E7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1F4E79"/>
      </top>
      <bottom style="double">
        <color rgb="FF1F4E7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righ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3" fontId="4" fillId="3" borderId="2" xfId="0" applyNumberFormat="1" applyFont="1" applyFill="1" applyBorder="1" applyAlignment="1">
      <alignment horizontal="center" vertical="center"/>
    </xf>
    <xf numFmtId="176" fontId="4" fillId="3" borderId="2" xfId="0" applyNumberFormat="1" applyFont="1" applyFill="1" applyBorder="1" applyAlignment="1">
      <alignment horizontal="right" vertical="center"/>
    </xf>
    <xf numFmtId="0" fontId="5" fillId="0" borderId="3" xfId="0" applyFont="1" applyBorder="1"/>
    <xf numFmtId="3" fontId="5" fillId="0" borderId="3" xfId="0" applyNumberFormat="1" applyFont="1" applyBorder="1" applyAlignment="1">
      <alignment horizontal="center" vertical="center"/>
    </xf>
    <xf numFmtId="176" fontId="5" fillId="0" borderId="3" xfId="0" applyNumberFormat="1" applyFont="1" applyBorder="1" applyAlignment="1">
      <alignment horizontal="right" vertical="center"/>
    </xf>
    <xf numFmtId="0" fontId="4" fillId="3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left" vertical="center"/>
    </xf>
    <xf numFmtId="0" fontId="8" fillId="0" borderId="0" xfId="0" applyFont="1"/>
    <xf numFmtId="0" fontId="4" fillId="0" borderId="0" xfId="0" applyFont="1" applyAlignment="1">
      <alignment horizontal="left" vertical="center"/>
    </xf>
    <xf numFmtId="0" fontId="6" fillId="4" borderId="2" xfId="0" applyFont="1" applyFill="1" applyBorder="1" applyAlignment="1">
      <alignment vertical="center"/>
    </xf>
    <xf numFmtId="0" fontId="0" fillId="0" borderId="4" xfId="0" applyBorder="1"/>
    <xf numFmtId="0" fontId="0" fillId="0" borderId="5" xfId="0" applyBorder="1"/>
    <xf numFmtId="0" fontId="5" fillId="0" borderId="3" xfId="0" applyFont="1" applyBorder="1" applyAlignment="1">
      <alignment vertical="center"/>
    </xf>
    <xf numFmtId="0" fontId="6" fillId="4" borderId="5" xfId="0" applyFont="1" applyFill="1" applyBorder="1" applyAlignment="1">
      <alignment vertical="center"/>
    </xf>
    <xf numFmtId="0" fontId="6" fillId="4" borderId="6" xfId="0" applyFont="1" applyFill="1" applyBorder="1" applyAlignment="1">
      <alignment vertical="center"/>
    </xf>
    <xf numFmtId="0" fontId="6" fillId="4" borderId="4" xfId="0" applyFont="1" applyFill="1" applyBorder="1" applyAlignment="1">
      <alignment vertical="center"/>
    </xf>
    <xf numFmtId="0" fontId="4" fillId="3" borderId="0" xfId="0" applyFont="1" applyFill="1" applyAlignment="1">
      <alignment horizontal="left" vertical="center"/>
    </xf>
    <xf numFmtId="0" fontId="4" fillId="8" borderId="2" xfId="0" applyFont="1" applyFill="1" applyBorder="1" applyAlignment="1">
      <alignment horizontal="left" vertical="center"/>
    </xf>
    <xf numFmtId="0" fontId="9" fillId="5" borderId="0" xfId="0" applyFont="1" applyFill="1"/>
    <xf numFmtId="0" fontId="10" fillId="6" borderId="2" xfId="0" applyFont="1" applyFill="1" applyBorder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0" fillId="8" borderId="0" xfId="0" applyFill="1"/>
    <xf numFmtId="0" fontId="11" fillId="5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8"/>
  <sheetViews>
    <sheetView tabSelected="1" zoomScale="87" workbookViewId="0">
      <pane ySplit="4" topLeftCell="A42" activePane="bottomLeft" state="frozen"/>
      <selection pane="bottomLeft" activeCell="F51" sqref="F51:H52"/>
    </sheetView>
  </sheetViews>
  <sheetFormatPr defaultRowHeight="13.5" customHeight="1"/>
  <cols>
    <col min="1" max="1" width="20" customWidth="1"/>
    <col min="2" max="2" width="32" customWidth="1"/>
    <col min="3" max="4" width="24" customWidth="1"/>
    <col min="5" max="5" width="10" customWidth="1"/>
    <col min="6" max="9" width="10.7109375" customWidth="1"/>
    <col min="10" max="10" width="35.42578125" customWidth="1"/>
    <col min="11" max="12" width="16" customWidth="1"/>
  </cols>
  <sheetData>
    <row r="1" spans="1:12" ht="21">
      <c r="A1" s="1" t="s">
        <v>0</v>
      </c>
    </row>
    <row r="2" spans="1:12" ht="15">
      <c r="A2" s="2"/>
    </row>
    <row r="3" spans="1:12"/>
    <row r="4" spans="1:12" ht="26.1" customHeight="1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</row>
    <row r="5" spans="1:12" ht="21.95" customHeight="1">
      <c r="A5" s="20" t="s">
        <v>13</v>
      </c>
      <c r="B5" s="4" t="s">
        <v>14</v>
      </c>
      <c r="C5" s="5" t="s">
        <v>15</v>
      </c>
      <c r="D5" s="5" t="s">
        <v>15</v>
      </c>
      <c r="E5" s="6">
        <v>2</v>
      </c>
      <c r="F5" s="4"/>
      <c r="G5" s="17"/>
      <c r="H5" s="4"/>
      <c r="I5" s="4"/>
      <c r="J5" s="4" t="s">
        <v>16</v>
      </c>
      <c r="K5" s="7"/>
      <c r="L5" s="7" t="str">
        <f>IF(OR(E5="",K5=""),"-",E5*K5)</f>
        <v>-</v>
      </c>
    </row>
    <row r="6" spans="1:12" ht="21.95" customHeight="1">
      <c r="A6" s="24"/>
      <c r="B6" s="4" t="s">
        <v>17</v>
      </c>
      <c r="C6" s="5"/>
      <c r="D6" s="5"/>
      <c r="E6" s="6">
        <v>2</v>
      </c>
      <c r="F6" s="4"/>
      <c r="G6" s="17"/>
      <c r="H6" s="4"/>
      <c r="I6" s="4"/>
      <c r="J6" s="4" t="s">
        <v>18</v>
      </c>
      <c r="K6" s="7"/>
      <c r="L6" s="7"/>
    </row>
    <row r="7" spans="1:12" ht="21.95" customHeight="1">
      <c r="A7" s="24"/>
      <c r="B7" s="8" t="s">
        <v>19</v>
      </c>
      <c r="C7" s="9" t="s">
        <v>15</v>
      </c>
      <c r="D7" s="9" t="s">
        <v>15</v>
      </c>
      <c r="E7" s="10">
        <v>2</v>
      </c>
      <c r="F7" s="8"/>
      <c r="G7" s="17"/>
      <c r="H7" s="8"/>
      <c r="I7" s="8"/>
      <c r="J7" s="8" t="s">
        <v>20</v>
      </c>
      <c r="K7" s="11"/>
      <c r="L7" s="11" t="str">
        <f>IF(OR(E7="",K7=""),"-",E7*K7)</f>
        <v>-</v>
      </c>
    </row>
    <row r="8" spans="1:12" ht="21.95" customHeight="1">
      <c r="A8" s="26"/>
      <c r="B8" s="8" t="s">
        <v>21</v>
      </c>
      <c r="C8" s="9"/>
      <c r="D8" s="9"/>
      <c r="E8" s="10">
        <v>2</v>
      </c>
      <c r="F8" s="8"/>
      <c r="G8" s="17"/>
      <c r="H8" s="8"/>
      <c r="I8" s="8"/>
      <c r="J8" s="8"/>
      <c r="K8" s="11"/>
      <c r="L8" s="11"/>
    </row>
    <row r="9" spans="1:12" ht="21.95" customHeight="1">
      <c r="A9" s="26"/>
      <c r="B9" s="8" t="s">
        <v>22</v>
      </c>
      <c r="C9" s="9"/>
      <c r="D9" s="9"/>
      <c r="E9" s="10" t="s">
        <v>23</v>
      </c>
      <c r="F9" s="8"/>
      <c r="G9" s="17"/>
      <c r="H9" s="8"/>
      <c r="I9" s="8"/>
      <c r="J9" s="8"/>
      <c r="K9" s="11"/>
      <c r="L9" s="11"/>
    </row>
    <row r="10" spans="1:12" ht="21.95" customHeight="1">
      <c r="A10" s="26"/>
      <c r="B10" s="8" t="s">
        <v>24</v>
      </c>
      <c r="C10" s="9"/>
      <c r="D10" s="9"/>
      <c r="E10" s="10">
        <v>1</v>
      </c>
      <c r="F10" s="8"/>
      <c r="G10" s="17"/>
      <c r="H10" s="8"/>
      <c r="I10" s="8"/>
      <c r="J10" s="8"/>
      <c r="K10" s="11"/>
      <c r="L10" s="11"/>
    </row>
    <row r="11" spans="1:12" ht="21.95" customHeight="1">
      <c r="A11" s="25" t="s">
        <v>25</v>
      </c>
      <c r="B11" s="4" t="s">
        <v>26</v>
      </c>
      <c r="C11" s="5"/>
      <c r="D11" s="5" t="s">
        <v>15</v>
      </c>
      <c r="E11" s="6">
        <v>1</v>
      </c>
      <c r="F11" s="4"/>
      <c r="G11" s="17"/>
      <c r="H11" s="4"/>
      <c r="I11" s="4"/>
      <c r="J11" s="4"/>
      <c r="K11" s="7"/>
      <c r="L11" s="7" t="str">
        <f>IF(OR(E11="",K11=""),"-",E11*K11)</f>
        <v>-</v>
      </c>
    </row>
    <row r="12" spans="1:12" ht="21.95" customHeight="1">
      <c r="A12" s="26"/>
      <c r="B12" s="8" t="s">
        <v>27</v>
      </c>
      <c r="C12" s="9" t="s">
        <v>15</v>
      </c>
      <c r="D12" s="9" t="s">
        <v>15</v>
      </c>
      <c r="E12" s="10">
        <v>1</v>
      </c>
      <c r="F12" s="8"/>
      <c r="G12" s="17"/>
      <c r="H12" s="8"/>
      <c r="I12" s="8"/>
      <c r="J12" s="8"/>
      <c r="K12" s="11"/>
      <c r="L12" s="11" t="str">
        <f>IF(OR(E12="",K12=""),"-",E12*K12)</f>
        <v>-</v>
      </c>
    </row>
    <row r="13" spans="1:12" ht="21.95" customHeight="1">
      <c r="A13" s="26"/>
      <c r="B13" s="4" t="s">
        <v>28</v>
      </c>
      <c r="C13" s="5" t="s">
        <v>29</v>
      </c>
      <c r="D13" s="5" t="s">
        <v>30</v>
      </c>
      <c r="E13" s="6">
        <v>2</v>
      </c>
      <c r="F13" s="4"/>
      <c r="G13" s="4"/>
      <c r="H13" s="16"/>
      <c r="I13" s="4"/>
      <c r="J13" s="4" t="s">
        <v>31</v>
      </c>
      <c r="K13" s="7"/>
      <c r="L13" s="7" t="str">
        <f>IF(OR(E13="",K13=""),"-",E13*K13)</f>
        <v>-</v>
      </c>
    </row>
    <row r="14" spans="1:12" ht="21.95" customHeight="1">
      <c r="A14" s="26"/>
      <c r="B14" s="18" t="s">
        <v>32</v>
      </c>
      <c r="C14" s="5" t="s">
        <v>29</v>
      </c>
      <c r="D14" s="5" t="s">
        <v>33</v>
      </c>
      <c r="E14" s="6">
        <v>2</v>
      </c>
      <c r="F14" s="4"/>
      <c r="G14" s="4"/>
      <c r="H14" s="16"/>
      <c r="I14" s="4"/>
      <c r="J14" s="8"/>
      <c r="K14" s="7"/>
      <c r="L14" s="7"/>
    </row>
    <row r="15" spans="1:12" ht="21.95" customHeight="1">
      <c r="A15" s="26"/>
      <c r="B15" s="4" t="s">
        <v>34</v>
      </c>
      <c r="C15" s="5" t="s">
        <v>35</v>
      </c>
      <c r="D15" s="5" t="s">
        <v>36</v>
      </c>
      <c r="E15" s="6">
        <v>1</v>
      </c>
      <c r="F15" s="28"/>
      <c r="G15" s="4"/>
      <c r="H15" s="4"/>
      <c r="I15" s="34"/>
      <c r="J15" s="4"/>
      <c r="K15" s="7"/>
      <c r="L15" s="7" t="str">
        <f>IF(OR(E15="",K15=""),"-",E15*K15)</f>
        <v>-</v>
      </c>
    </row>
    <row r="16" spans="1:12" ht="21.95" customHeight="1">
      <c r="A16" s="26"/>
      <c r="B16" s="8" t="s">
        <v>37</v>
      </c>
      <c r="C16" s="9" t="s">
        <v>38</v>
      </c>
      <c r="D16" s="9" t="s">
        <v>39</v>
      </c>
      <c r="E16" s="10">
        <v>1</v>
      </c>
      <c r="F16" s="28"/>
      <c r="G16" s="8"/>
      <c r="H16" s="8"/>
      <c r="I16" s="34"/>
      <c r="J16" s="8"/>
      <c r="K16" s="11"/>
      <c r="L16" s="11" t="str">
        <f>IF(OR(E16="",K16=""),"-",E16*K16)</f>
        <v>-</v>
      </c>
    </row>
    <row r="17" spans="1:12" ht="21.95" customHeight="1">
      <c r="A17" s="26"/>
      <c r="B17" s="4" t="s">
        <v>40</v>
      </c>
      <c r="C17" s="5" t="s">
        <v>41</v>
      </c>
      <c r="D17" s="5" t="s">
        <v>42</v>
      </c>
      <c r="E17" s="6">
        <v>1</v>
      </c>
      <c r="F17" s="28"/>
      <c r="G17" s="4"/>
      <c r="H17" s="4"/>
      <c r="I17" s="34"/>
      <c r="J17" s="4"/>
      <c r="K17" s="7"/>
      <c r="L17" s="7" t="str">
        <f>IF(OR(E17="",K17=""),"-",E17*K17)</f>
        <v>-</v>
      </c>
    </row>
    <row r="18" spans="1:12" ht="21.95" customHeight="1">
      <c r="A18" s="26"/>
      <c r="B18" s="8" t="s">
        <v>43</v>
      </c>
      <c r="C18" s="9" t="s">
        <v>44</v>
      </c>
      <c r="D18" s="9" t="s">
        <v>45</v>
      </c>
      <c r="E18" s="10">
        <v>1</v>
      </c>
      <c r="F18" s="4"/>
      <c r="G18" s="8"/>
      <c r="H18" s="16"/>
      <c r="I18" s="8"/>
      <c r="J18" s="8"/>
      <c r="K18" s="11"/>
      <c r="L18" s="11" t="str">
        <f>IF(OR(E18="",K18=""),"-",E18*K18)</f>
        <v>-</v>
      </c>
    </row>
    <row r="19" spans="1:12" ht="21.95" customHeight="1">
      <c r="A19" s="26"/>
      <c r="B19" s="4" t="s">
        <v>46</v>
      </c>
      <c r="C19" s="5" t="s">
        <v>35</v>
      </c>
      <c r="D19" s="5" t="s">
        <v>47</v>
      </c>
      <c r="E19" s="6">
        <v>1</v>
      </c>
      <c r="F19" s="4"/>
      <c r="G19" s="4"/>
      <c r="H19" s="29"/>
      <c r="I19" s="4"/>
      <c r="J19" s="4"/>
      <c r="K19" s="7"/>
      <c r="L19" s="7" t="str">
        <f>IF(OR(E19="",K19=""),"-",E19*K19)</f>
        <v>-</v>
      </c>
    </row>
    <row r="20" spans="1:12" ht="21.95" customHeight="1">
      <c r="A20" s="26"/>
      <c r="B20" s="4" t="s">
        <v>48</v>
      </c>
      <c r="C20" s="5"/>
      <c r="D20" s="5"/>
      <c r="E20" s="6">
        <v>1</v>
      </c>
      <c r="F20" s="19"/>
      <c r="G20" s="4"/>
      <c r="H20" s="16"/>
      <c r="I20" s="19"/>
      <c r="J20" s="4"/>
      <c r="K20" s="7"/>
      <c r="L20" s="7"/>
    </row>
    <row r="21" spans="1:12" ht="21.95" customHeight="1">
      <c r="A21" s="24"/>
      <c r="B21" s="4" t="s">
        <v>49</v>
      </c>
      <c r="C21" s="5"/>
      <c r="D21" s="5"/>
      <c r="E21" s="6"/>
      <c r="F21" s="19"/>
      <c r="G21" s="4"/>
      <c r="H21" s="29"/>
      <c r="I21" s="19"/>
      <c r="J21" s="4"/>
      <c r="K21" s="7"/>
      <c r="L21" s="7"/>
    </row>
    <row r="22" spans="1:12" ht="21.95" customHeight="1">
      <c r="A22" s="20" t="s">
        <v>50</v>
      </c>
      <c r="B22" s="8" t="s">
        <v>51</v>
      </c>
      <c r="C22" s="9" t="s">
        <v>52</v>
      </c>
      <c r="D22" s="9" t="s">
        <v>53</v>
      </c>
      <c r="E22" s="10">
        <v>1</v>
      </c>
      <c r="F22" s="32"/>
      <c r="G22" s="8"/>
      <c r="H22" s="8"/>
      <c r="J22" s="8" t="s">
        <v>54</v>
      </c>
      <c r="K22" s="11"/>
      <c r="L22" s="11" t="str">
        <f>IF(OR(E22="",K22=""),"-",E22*K22)</f>
        <v>-</v>
      </c>
    </row>
    <row r="23" spans="1:12" ht="21.95" customHeight="1">
      <c r="A23" s="21"/>
      <c r="B23" s="4" t="s">
        <v>55</v>
      </c>
      <c r="C23" s="5" t="s">
        <v>56</v>
      </c>
      <c r="D23" s="5" t="s">
        <v>57</v>
      </c>
      <c r="E23" s="6">
        <v>1</v>
      </c>
      <c r="F23" s="28"/>
      <c r="G23" s="4"/>
      <c r="H23" s="4"/>
      <c r="I23" s="30"/>
      <c r="J23" s="4"/>
      <c r="K23" s="7"/>
      <c r="L23" s="7" t="str">
        <f>IF(OR(E23="",K23=""),"-",E23*K23)</f>
        <v>-</v>
      </c>
    </row>
    <row r="24" spans="1:12" ht="21.95" customHeight="1">
      <c r="A24" s="21"/>
      <c r="B24" s="4" t="s">
        <v>58</v>
      </c>
      <c r="C24" s="5" t="s">
        <v>29</v>
      </c>
      <c r="D24" s="5" t="s">
        <v>59</v>
      </c>
      <c r="E24" s="6">
        <v>5</v>
      </c>
      <c r="F24" s="28"/>
      <c r="G24" s="4"/>
      <c r="H24" s="4"/>
      <c r="I24" s="30"/>
      <c r="J24" s="4"/>
      <c r="K24" s="7"/>
      <c r="L24" s="7" t="str">
        <f>IF(OR(E24="",K24=""),"-",E24*K24)</f>
        <v>-</v>
      </c>
    </row>
    <row r="25" spans="1:12" ht="21.95" customHeight="1">
      <c r="A25" s="21"/>
      <c r="B25" s="8" t="s">
        <v>60</v>
      </c>
      <c r="C25" s="9" t="s">
        <v>29</v>
      </c>
      <c r="D25" s="9" t="s">
        <v>61</v>
      </c>
      <c r="E25" s="10">
        <v>1</v>
      </c>
      <c r="F25" s="28"/>
      <c r="G25" s="8"/>
      <c r="H25" s="8"/>
      <c r="I25" s="30"/>
      <c r="J25" s="8"/>
      <c r="K25" s="11"/>
      <c r="L25" s="11" t="str">
        <f>IF(OR(E25="",K25=""),"-",E25*K25)</f>
        <v>-</v>
      </c>
    </row>
    <row r="26" spans="1:12" ht="21.95" customHeight="1">
      <c r="A26" s="21"/>
      <c r="B26" s="4" t="s">
        <v>62</v>
      </c>
      <c r="C26" s="5" t="s">
        <v>29</v>
      </c>
      <c r="D26" s="5" t="s">
        <v>63</v>
      </c>
      <c r="E26" s="6">
        <v>1</v>
      </c>
      <c r="F26" s="28"/>
      <c r="G26" s="4"/>
      <c r="H26" s="4"/>
      <c r="I26" s="30"/>
      <c r="J26" s="4"/>
      <c r="K26" s="7"/>
      <c r="L26" s="7" t="str">
        <f>IF(OR(E26="",K26=""),"-",E26*K26)</f>
        <v>-</v>
      </c>
    </row>
    <row r="27" spans="1:12" ht="21.95" customHeight="1">
      <c r="A27" s="21"/>
      <c r="B27" s="8" t="s">
        <v>64</v>
      </c>
      <c r="C27" s="9" t="s">
        <v>29</v>
      </c>
      <c r="D27" s="9" t="s">
        <v>65</v>
      </c>
      <c r="E27" s="10">
        <v>1</v>
      </c>
      <c r="F27" s="28"/>
      <c r="G27" s="8"/>
      <c r="H27" s="8"/>
      <c r="I27" s="30"/>
      <c r="J27" s="8"/>
      <c r="K27" s="11"/>
      <c r="L27" s="11" t="str">
        <f>IF(OR(E27="",K27=""),"-",E27*K27)</f>
        <v>-</v>
      </c>
    </row>
    <row r="28" spans="1:12" ht="21.95" customHeight="1">
      <c r="A28" s="21"/>
      <c r="B28" s="4" t="s">
        <v>66</v>
      </c>
      <c r="C28" s="5" t="s">
        <v>29</v>
      </c>
      <c r="D28" s="5" t="s">
        <v>67</v>
      </c>
      <c r="E28" s="6">
        <v>1</v>
      </c>
      <c r="F28" s="28"/>
      <c r="G28" s="4"/>
      <c r="H28" s="4"/>
      <c r="I28" s="30"/>
      <c r="J28" s="4"/>
      <c r="K28" s="7"/>
      <c r="L28" s="7" t="str">
        <f>IF(OR(E28="",K28=""),"-",E28*K28)</f>
        <v>-</v>
      </c>
    </row>
    <row r="29" spans="1:12" ht="21.95" customHeight="1">
      <c r="A29" s="21"/>
      <c r="B29" s="4" t="s">
        <v>68</v>
      </c>
      <c r="C29" s="9" t="s">
        <v>29</v>
      </c>
      <c r="D29" s="9" t="s">
        <v>69</v>
      </c>
      <c r="E29" s="6">
        <v>1</v>
      </c>
      <c r="F29" s="28"/>
      <c r="G29" s="4"/>
      <c r="H29" s="4"/>
      <c r="I29" s="30"/>
      <c r="J29" s="4" t="s">
        <v>70</v>
      </c>
      <c r="K29" s="7"/>
      <c r="L29" s="7" t="str">
        <f>IF(OR(E29="",K29=""),"-",E29*K29)</f>
        <v>-</v>
      </c>
    </row>
    <row r="30" spans="1:12" ht="21.95" customHeight="1">
      <c r="A30" s="21"/>
      <c r="B30" s="8" t="s">
        <v>71</v>
      </c>
      <c r="C30" s="15" t="s">
        <v>72</v>
      </c>
      <c r="D30" s="9" t="s">
        <v>73</v>
      </c>
      <c r="E30" s="10">
        <v>1</v>
      </c>
      <c r="F30" s="28"/>
      <c r="G30" s="8"/>
      <c r="H30" s="8"/>
      <c r="I30" s="34"/>
      <c r="J30" s="8"/>
      <c r="K30" s="11"/>
      <c r="L30" s="11" t="str">
        <f>IF(OR(E30="",K30=""),"-",E30*K30)</f>
        <v>-</v>
      </c>
    </row>
    <row r="31" spans="1:12" ht="21.95" customHeight="1">
      <c r="A31" s="21"/>
      <c r="B31" s="8" t="s">
        <v>74</v>
      </c>
      <c r="C31" s="9" t="s">
        <v>72</v>
      </c>
      <c r="D31" s="9" t="s">
        <v>75</v>
      </c>
      <c r="E31" s="10">
        <v>1</v>
      </c>
      <c r="F31" s="28"/>
      <c r="G31" s="8"/>
      <c r="H31" s="8"/>
      <c r="I31" s="34"/>
      <c r="J31" s="8"/>
      <c r="K31" s="11"/>
      <c r="L31" s="11" t="str">
        <f>IF(OR(E31="",K31=""),"-",E31*K31)</f>
        <v>-</v>
      </c>
    </row>
    <row r="32" spans="1:12" ht="21.95" customHeight="1">
      <c r="A32" s="21"/>
      <c r="B32" s="8" t="s">
        <v>76</v>
      </c>
      <c r="C32" s="9" t="s">
        <v>77</v>
      </c>
      <c r="D32" s="9" t="s">
        <v>78</v>
      </c>
      <c r="E32" s="10">
        <v>1</v>
      </c>
      <c r="F32" s="28"/>
      <c r="G32" s="8"/>
      <c r="H32" s="8"/>
      <c r="I32" s="34"/>
      <c r="J32" s="8"/>
      <c r="K32" s="11"/>
      <c r="L32" s="11" t="str">
        <f>IF(OR(E32="",K32=""),"-",E32*K32)</f>
        <v>-</v>
      </c>
    </row>
    <row r="33" spans="1:12" ht="21.95" customHeight="1">
      <c r="A33" s="21"/>
      <c r="B33" s="4" t="s">
        <v>79</v>
      </c>
      <c r="C33" s="5" t="s">
        <v>29</v>
      </c>
      <c r="D33" s="5" t="s">
        <v>80</v>
      </c>
      <c r="E33" s="6">
        <v>1</v>
      </c>
      <c r="F33" s="28"/>
      <c r="G33" s="4"/>
      <c r="H33" s="4"/>
      <c r="I33" s="34"/>
      <c r="J33" s="4"/>
      <c r="K33" s="7"/>
      <c r="L33" s="7" t="str">
        <f>IF(OR(E33="",K33=""),"-",E33*K33)</f>
        <v>-</v>
      </c>
    </row>
    <row r="34" spans="1:12" ht="21.95" customHeight="1">
      <c r="A34" s="21"/>
      <c r="B34" s="8" t="s">
        <v>81</v>
      </c>
      <c r="C34" s="9" t="s">
        <v>29</v>
      </c>
      <c r="D34" s="9" t="s">
        <v>82</v>
      </c>
      <c r="E34" s="10">
        <v>1</v>
      </c>
      <c r="F34" s="28"/>
      <c r="G34" s="8"/>
      <c r="H34" s="8"/>
      <c r="I34" s="34"/>
      <c r="J34" s="8"/>
      <c r="K34" s="11"/>
      <c r="L34" s="11" t="str">
        <f>IF(OR(E34="",K34=""),"-",E34*K34)</f>
        <v>-</v>
      </c>
    </row>
    <row r="35" spans="1:12" ht="21.95" customHeight="1">
      <c r="A35" s="21"/>
      <c r="B35" s="4" t="s">
        <v>83</v>
      </c>
      <c r="C35" s="5" t="s">
        <v>29</v>
      </c>
      <c r="D35" s="5" t="s">
        <v>84</v>
      </c>
      <c r="E35" s="6">
        <v>1</v>
      </c>
      <c r="F35" s="28"/>
      <c r="G35" s="4"/>
      <c r="H35" s="4"/>
      <c r="I35" s="34"/>
      <c r="J35" s="4"/>
      <c r="K35" s="7"/>
      <c r="L35" s="7" t="str">
        <f>IF(OR(E35="",K35=""),"-",E35*K35)</f>
        <v>-</v>
      </c>
    </row>
    <row r="36" spans="1:12" ht="21.95" customHeight="1">
      <c r="A36" s="21"/>
      <c r="B36" s="4" t="s">
        <v>85</v>
      </c>
      <c r="C36" s="5" t="s">
        <v>29</v>
      </c>
      <c r="D36" s="5" t="s">
        <v>86</v>
      </c>
      <c r="E36" s="6">
        <v>1</v>
      </c>
      <c r="F36" s="28"/>
      <c r="G36" s="4"/>
      <c r="H36" s="4"/>
      <c r="I36" s="34"/>
      <c r="J36" s="4"/>
      <c r="K36" s="7"/>
      <c r="L36" s="7"/>
    </row>
    <row r="37" spans="1:12" ht="21.95" customHeight="1">
      <c r="A37" s="21"/>
      <c r="B37" s="8" t="s">
        <v>87</v>
      </c>
      <c r="C37" s="9" t="s">
        <v>29</v>
      </c>
      <c r="D37" s="9" t="s">
        <v>88</v>
      </c>
      <c r="E37" s="10">
        <v>2</v>
      </c>
      <c r="F37" s="28"/>
      <c r="G37" s="8"/>
      <c r="H37" s="8"/>
      <c r="I37" s="34"/>
      <c r="J37" s="8"/>
      <c r="K37" s="11"/>
      <c r="L37" s="11" t="str">
        <f>IF(OR(E37="",K37=""),"-",E37*K37)</f>
        <v>-</v>
      </c>
    </row>
    <row r="38" spans="1:12" ht="21.95" customHeight="1">
      <c r="A38" s="21"/>
      <c r="B38" s="4" t="s">
        <v>89</v>
      </c>
      <c r="C38" s="9" t="s">
        <v>29</v>
      </c>
      <c r="D38" s="9" t="s">
        <v>90</v>
      </c>
      <c r="E38" s="10">
        <v>4</v>
      </c>
      <c r="F38" s="4"/>
      <c r="G38" s="8"/>
      <c r="H38" s="33"/>
      <c r="I38" s="8"/>
      <c r="J38" s="8"/>
      <c r="K38" s="11"/>
      <c r="L38" s="11"/>
    </row>
    <row r="39" spans="1:12" ht="21.95" customHeight="1">
      <c r="A39" s="21"/>
      <c r="B39" s="4" t="s">
        <v>89</v>
      </c>
      <c r="C39" s="9" t="s">
        <v>29</v>
      </c>
      <c r="D39" s="9" t="s">
        <v>91</v>
      </c>
      <c r="E39" s="10">
        <v>12</v>
      </c>
      <c r="F39" s="4"/>
      <c r="G39" s="8"/>
      <c r="H39" s="33"/>
      <c r="I39" s="8"/>
      <c r="J39" s="8"/>
      <c r="K39" s="11"/>
      <c r="L39" s="11"/>
    </row>
    <row r="40" spans="1:12" ht="21.95" customHeight="1">
      <c r="A40" s="21"/>
      <c r="B40" s="8" t="s">
        <v>92</v>
      </c>
      <c r="C40" s="9" t="s">
        <v>29</v>
      </c>
      <c r="D40" s="9" t="s">
        <v>93</v>
      </c>
      <c r="E40" s="10">
        <v>12</v>
      </c>
      <c r="F40" s="4"/>
      <c r="G40" s="8"/>
      <c r="H40" s="33"/>
      <c r="I40" s="8"/>
      <c r="J40" s="8"/>
      <c r="K40" s="11"/>
      <c r="L40" s="11"/>
    </row>
    <row r="41" spans="1:12" ht="21.95" customHeight="1">
      <c r="A41" s="21"/>
      <c r="B41" s="8" t="s">
        <v>94</v>
      </c>
      <c r="C41" s="9" t="s">
        <v>29</v>
      </c>
      <c r="D41" s="9" t="s">
        <v>95</v>
      </c>
      <c r="E41" s="10">
        <v>4</v>
      </c>
      <c r="F41" s="4"/>
      <c r="G41" s="8"/>
      <c r="H41" s="33"/>
      <c r="I41" s="8"/>
      <c r="J41" s="8"/>
      <c r="K41" s="11"/>
      <c r="L41" s="11"/>
    </row>
    <row r="42" spans="1:12" ht="21.95" customHeight="1">
      <c r="A42" s="21"/>
      <c r="B42" s="8" t="s">
        <v>94</v>
      </c>
      <c r="C42" s="9" t="s">
        <v>29</v>
      </c>
      <c r="D42" s="9" t="s">
        <v>96</v>
      </c>
      <c r="E42" s="10">
        <v>8</v>
      </c>
      <c r="F42" s="4"/>
      <c r="G42" s="8"/>
      <c r="H42" s="33"/>
      <c r="I42" s="8"/>
      <c r="J42" s="8"/>
      <c r="K42" s="11"/>
      <c r="L42" s="11"/>
    </row>
    <row r="43" spans="1:12" ht="21.95" customHeight="1">
      <c r="A43" s="21"/>
      <c r="B43" s="8" t="s">
        <v>97</v>
      </c>
      <c r="C43" s="9" t="s">
        <v>29</v>
      </c>
      <c r="D43" s="9" t="s">
        <v>98</v>
      </c>
      <c r="E43" s="10">
        <v>4</v>
      </c>
      <c r="F43" s="4"/>
      <c r="G43" s="8"/>
      <c r="H43" s="33"/>
      <c r="I43" s="8"/>
      <c r="J43" s="8"/>
      <c r="K43" s="11"/>
      <c r="L43" s="11"/>
    </row>
    <row r="44" spans="1:12" ht="21.95" customHeight="1">
      <c r="A44" s="21"/>
      <c r="B44" s="8" t="s">
        <v>97</v>
      </c>
      <c r="C44" s="9" t="s">
        <v>29</v>
      </c>
      <c r="D44" s="9" t="s">
        <v>99</v>
      </c>
      <c r="E44" s="10">
        <v>8</v>
      </c>
      <c r="F44" s="4"/>
      <c r="G44" s="8"/>
      <c r="H44" s="33"/>
      <c r="I44" s="8"/>
      <c r="J44" s="8"/>
      <c r="K44" s="11"/>
      <c r="L44" s="11"/>
    </row>
    <row r="45" spans="1:12" ht="21.95" customHeight="1">
      <c r="A45" s="21"/>
      <c r="B45" s="8" t="s">
        <v>100</v>
      </c>
      <c r="C45" s="9" t="s">
        <v>29</v>
      </c>
      <c r="D45" s="9" t="s">
        <v>101</v>
      </c>
      <c r="E45" s="10">
        <v>4</v>
      </c>
      <c r="F45" s="4"/>
      <c r="G45" s="8"/>
      <c r="H45" s="33"/>
      <c r="I45" s="8"/>
      <c r="J45" s="8"/>
      <c r="K45" s="11"/>
      <c r="L45" s="11"/>
    </row>
    <row r="46" spans="1:12" ht="21.95" customHeight="1">
      <c r="A46" s="21"/>
      <c r="B46" s="8" t="s">
        <v>100</v>
      </c>
      <c r="C46" s="9" t="s">
        <v>29</v>
      </c>
      <c r="D46" s="9" t="s">
        <v>102</v>
      </c>
      <c r="E46" s="10">
        <v>2</v>
      </c>
      <c r="F46" s="4"/>
      <c r="G46" s="8"/>
      <c r="H46" s="33"/>
      <c r="I46" s="8"/>
      <c r="J46" s="8"/>
      <c r="K46" s="11"/>
      <c r="L46" s="11"/>
    </row>
    <row r="47" spans="1:12" ht="21.95" customHeight="1">
      <c r="A47" s="21"/>
      <c r="B47" s="8" t="s">
        <v>103</v>
      </c>
      <c r="C47" s="9" t="s">
        <v>29</v>
      </c>
      <c r="D47" s="9" t="s">
        <v>104</v>
      </c>
      <c r="E47" s="10">
        <v>1</v>
      </c>
      <c r="F47" s="4"/>
      <c r="G47" s="8"/>
      <c r="H47" s="33"/>
      <c r="I47" s="8"/>
      <c r="J47" s="8"/>
      <c r="K47" s="11"/>
      <c r="L47" s="11"/>
    </row>
    <row r="48" spans="1:12" ht="21.95" customHeight="1">
      <c r="A48" s="21"/>
      <c r="B48" s="8" t="s">
        <v>105</v>
      </c>
      <c r="C48" s="9" t="s">
        <v>29</v>
      </c>
      <c r="D48" s="9" t="s">
        <v>106</v>
      </c>
      <c r="E48" s="10">
        <v>2</v>
      </c>
      <c r="F48" s="4"/>
      <c r="G48" s="8"/>
      <c r="H48" s="33"/>
      <c r="I48" s="8"/>
      <c r="J48" s="8"/>
      <c r="K48" s="11"/>
      <c r="L48" s="11"/>
    </row>
    <row r="49" spans="1:12" ht="21.95" customHeight="1">
      <c r="A49" s="21"/>
      <c r="B49" s="8" t="s">
        <v>107</v>
      </c>
      <c r="C49" s="9" t="s">
        <v>29</v>
      </c>
      <c r="D49" s="9" t="s">
        <v>108</v>
      </c>
      <c r="E49" s="10">
        <v>10</v>
      </c>
      <c r="F49" s="4"/>
      <c r="G49" s="8"/>
      <c r="H49" s="33"/>
      <c r="I49" s="8"/>
      <c r="J49" s="8"/>
      <c r="K49" s="11"/>
      <c r="L49" s="11"/>
    </row>
    <row r="50" spans="1:12" ht="21.95" customHeight="1">
      <c r="A50" s="21"/>
      <c r="B50" s="8" t="s">
        <v>109</v>
      </c>
      <c r="C50" s="9" t="s">
        <v>29</v>
      </c>
      <c r="D50" s="9"/>
      <c r="E50" s="10">
        <v>4</v>
      </c>
      <c r="F50" s="4"/>
      <c r="G50" s="8"/>
      <c r="H50" s="33"/>
      <c r="I50" s="8"/>
      <c r="J50" s="8"/>
      <c r="K50" s="11"/>
      <c r="L50" s="11"/>
    </row>
    <row r="51" spans="1:12" ht="21.95" customHeight="1">
      <c r="A51" s="21"/>
      <c r="B51" s="8" t="s">
        <v>110</v>
      </c>
      <c r="C51" s="9"/>
      <c r="D51" s="9"/>
      <c r="E51" s="10">
        <v>1</v>
      </c>
      <c r="F51" s="35"/>
      <c r="G51" s="36"/>
      <c r="H51" s="36"/>
      <c r="I51" s="27"/>
      <c r="J51" s="27" t="s">
        <v>111</v>
      </c>
      <c r="K51" s="11"/>
      <c r="L51" s="11"/>
    </row>
    <row r="52" spans="1:12" ht="21.95" customHeight="1">
      <c r="A52" s="21"/>
      <c r="B52" s="8" t="s">
        <v>110</v>
      </c>
      <c r="C52" s="9"/>
      <c r="D52" s="9"/>
      <c r="E52" s="10">
        <v>1</v>
      </c>
      <c r="F52" s="37"/>
      <c r="G52" s="38"/>
      <c r="H52" s="38"/>
      <c r="I52" s="27"/>
      <c r="J52" s="27" t="s">
        <v>112</v>
      </c>
      <c r="K52" s="11"/>
      <c r="L52" s="11"/>
    </row>
    <row r="53" spans="1:12" ht="21.95" customHeight="1">
      <c r="A53" s="21"/>
      <c r="B53" s="8" t="s">
        <v>113</v>
      </c>
      <c r="C53" s="9"/>
      <c r="D53" s="9"/>
      <c r="E53" s="10"/>
      <c r="F53" s="8"/>
      <c r="G53" s="8"/>
      <c r="H53" s="31"/>
      <c r="I53" s="8"/>
      <c r="J53" s="8"/>
      <c r="K53" s="11"/>
      <c r="L53" s="11"/>
    </row>
    <row r="54" spans="1:12" ht="21.95" customHeight="1">
      <c r="A54" s="21"/>
      <c r="B54" s="8" t="s">
        <v>114</v>
      </c>
      <c r="C54" s="9"/>
      <c r="D54" s="9"/>
      <c r="E54" s="10"/>
      <c r="F54" s="27"/>
      <c r="G54" s="27"/>
      <c r="H54" s="31"/>
      <c r="I54" s="27"/>
      <c r="J54" s="27"/>
      <c r="K54" s="11"/>
      <c r="L54" s="11"/>
    </row>
    <row r="55" spans="1:12" ht="21.95" customHeight="1">
      <c r="A55" s="22"/>
      <c r="B55" s="4" t="s">
        <v>115</v>
      </c>
      <c r="C55" s="5"/>
      <c r="D55" s="5"/>
      <c r="E55" s="6"/>
      <c r="H55" s="31"/>
      <c r="K55" s="7"/>
      <c r="L55" s="7" t="str">
        <f>IF(OR(E55="",K55=""),"-",E55*K55)</f>
        <v>-</v>
      </c>
    </row>
    <row r="56" spans="1:12" ht="21.95" customHeight="1">
      <c r="A56" s="22"/>
      <c r="B56" s="4" t="s">
        <v>116</v>
      </c>
      <c r="C56" s="5"/>
      <c r="D56" s="5"/>
      <c r="E56" s="6"/>
      <c r="H56" s="31"/>
      <c r="K56" s="7"/>
      <c r="L56" s="7"/>
    </row>
    <row r="57" spans="1:12" ht="21.95" customHeight="1">
      <c r="A57" s="20" t="s">
        <v>117</v>
      </c>
      <c r="B57" s="8" t="s">
        <v>118</v>
      </c>
      <c r="C57" s="9" t="s">
        <v>29</v>
      </c>
      <c r="D57" s="9" t="s">
        <v>119</v>
      </c>
      <c r="E57" s="10">
        <v>1</v>
      </c>
      <c r="F57" s="28"/>
      <c r="G57" s="8"/>
      <c r="H57" s="8"/>
      <c r="I57" s="34"/>
      <c r="J57" s="8" t="s">
        <v>120</v>
      </c>
      <c r="K57" s="11"/>
      <c r="L57" s="11" t="str">
        <f>IF(OR(E57="",K57=""),"-",E57*K57)</f>
        <v>-</v>
      </c>
    </row>
    <row r="58" spans="1:12" ht="24" customHeight="1">
      <c r="A58" s="23" t="s">
        <v>121</v>
      </c>
      <c r="B58" s="12"/>
      <c r="C58" s="12"/>
      <c r="D58" s="12"/>
      <c r="E58" s="13">
        <f>SUM(E5:E57)</f>
        <v>120</v>
      </c>
      <c r="F58" s="12"/>
      <c r="G58" s="12"/>
      <c r="H58" s="12"/>
      <c r="I58" s="12"/>
      <c r="J58" s="12"/>
      <c r="K58" s="12"/>
      <c r="L58" s="14">
        <f>SUM(L5:L57)</f>
        <v>0</v>
      </c>
    </row>
  </sheetData>
  <autoFilter ref="A4:E57" xr:uid="{00000000-0009-0000-0000-000000000000}"/>
  <phoneticPr fontId="7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2026-07-27T02:27:14Z</dcterms:created>
  <dcterms:modified xsi:type="dcterms:W3CDTF">2026-07-28T05:33:18Z</dcterms:modified>
  <cp:category/>
  <cp:contentStatus/>
</cp:coreProperties>
</file>