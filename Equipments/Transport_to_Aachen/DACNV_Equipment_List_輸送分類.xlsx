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機材一覧" sheetId="1" state="visible" r:id="rId1"/>
    <sheet name="輸送分類" sheetId="2" state="visible" r:id="rId2"/>
    <sheet name="再購入リスト" sheetId="3" state="visible" r:id="rId3"/>
    <sheet name="重要品目メモ" sheetId="4" state="visible" r:id="rId4"/>
  </sheets>
  <definedNames>
    <definedName name="_xlnm._FilterDatabase" localSheetId="0" hidden="1">'機材一覧'!$A$4:$E$57</definedName>
    <definedName name="_xlnm.Print_Titles" localSheetId="0">'機材一覧'!$4:$4</definedName>
    <definedName name="_xlnm._FilterDatabase" localSheetId="1" hidden="1">'輸送分類'!$A$4:$N$57</definedName>
    <definedName name="_xlnm.Print_Titles" localSheetId="1">'輸送分類'!$4:$4</definedName>
  </definedNames>
  <calcPr calcId="191028" fullCalcOnLoad="1"/>
</workbook>
</file>

<file path=xl/styles.xml><?xml version="1.0" encoding="utf-8"?>
<styleSheet xmlns="http://schemas.openxmlformats.org/spreadsheetml/2006/main">
  <numFmts count="1">
    <numFmt numFmtId="164" formatCode="\¥#,##0;[Red]\-\¥#,##0;&quot;-&quot;"/>
  </numFmts>
  <fonts count="19">
    <font>
      <name val="ＭＳ Ｐゴシック"/>
      <family val="2"/>
      <color theme="1"/>
      <sz val="11"/>
      <scheme val="minor"/>
    </font>
    <font>
      <name val="Yu Gothic"/>
      <charset val="128"/>
      <family val="3"/>
      <b val="1"/>
      <color rgb="FF1F4E79"/>
      <sz val="16"/>
    </font>
    <font>
      <name val="Yu Gothic"/>
      <charset val="128"/>
      <family val="3"/>
      <i val="1"/>
      <color rgb="FF595959"/>
      <sz val="10"/>
    </font>
    <font>
      <name val="Yu Gothic"/>
      <charset val="128"/>
      <family val="3"/>
      <b val="1"/>
      <color rgb="FFFFFFFF"/>
      <sz val="11"/>
    </font>
    <font>
      <name val="Yu Gothic"/>
      <charset val="128"/>
      <family val="3"/>
      <sz val="10"/>
    </font>
    <font>
      <name val="Yu Gothic"/>
      <charset val="128"/>
      <family val="3"/>
      <b val="1"/>
      <sz val="10"/>
    </font>
    <font>
      <name val="Yu Gothic"/>
      <charset val="128"/>
      <family val="3"/>
      <b val="1"/>
      <color rgb="FF1F4E79"/>
      <sz val="10"/>
    </font>
    <font>
      <name val="ＭＳ Ｐゴシック"/>
      <charset val="128"/>
      <family val="3"/>
      <sz val="6"/>
      <scheme val="minor"/>
    </font>
    <font>
      <name val="Yu Gothic"/>
      <charset val="1"/>
      <color rgb="FF242424"/>
      <sz val="11"/>
    </font>
    <font>
      <name val="Yu Gothic"/>
      <charset val="1"/>
      <color rgb="FF000000"/>
      <sz val="10"/>
    </font>
    <font>
      <name val="Yu Gothic"/>
      <charset val="128"/>
      <family val="3"/>
      <color rgb="FFFFFF00"/>
      <sz val="10"/>
    </font>
    <font>
      <name val="Yu Gothic"/>
      <charset val="128"/>
      <family val="3"/>
      <color rgb="FFFFC000"/>
      <sz val="10"/>
    </font>
    <font>
      <b val="1"/>
      <sz val="14"/>
    </font>
    <font>
      <b val="1"/>
      <color rgb="00FFFFFF"/>
      <sz val="10"/>
    </font>
    <font>
      <b val="1"/>
      <sz val="10"/>
    </font>
    <font>
      <b val="1"/>
      <color rgb="009C0006"/>
    </font>
    <font>
      <b val="1"/>
    </font>
    <font>
      <b val="1"/>
      <sz val="11"/>
    </font>
    <font>
      <b val="1"/>
      <color rgb="001F3864"/>
      <sz val="12"/>
    </font>
  </fonts>
  <fills count="15">
    <fill>
      <patternFill/>
    </fill>
    <fill>
      <patternFill patternType="gray125"/>
    </fill>
    <fill>
      <patternFill patternType="solid">
        <fgColor rgb="FF1F4E79"/>
        <bgColor rgb="FF1F4E79"/>
      </patternFill>
    </fill>
    <fill>
      <patternFill patternType="solid">
        <fgColor rgb="FFF4F7FA"/>
        <bgColor rgb="FFF4F7FA"/>
      </patternFill>
    </fill>
    <fill>
      <patternFill patternType="solid">
        <fgColor rgb="FFE8EEF5"/>
        <bgColor rgb="FFE8EEF5"/>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
      <patternFill patternType="solid">
        <fgColor rgb="001F3864"/>
      </patternFill>
    </fill>
    <fill>
      <patternFill patternType="solid">
        <fgColor rgb="00FFF2CC"/>
      </patternFill>
    </fill>
    <fill>
      <patternFill patternType="solid">
        <fgColor rgb="00E2EFDA"/>
      </patternFill>
    </fill>
    <fill>
      <patternFill patternType="solid">
        <fgColor rgb="00FCE4E4"/>
      </patternFill>
    </fill>
    <fill>
      <patternFill patternType="solid">
        <fgColor rgb="00FFC7CE"/>
      </patternFill>
    </fill>
    <fill>
      <patternFill patternType="solid">
        <fgColor rgb="00DDEBF7"/>
      </patternFill>
    </fill>
  </fills>
  <borders count="11">
    <border>
      <left/>
      <right/>
      <top/>
      <bottom/>
      <diagonal/>
    </border>
    <border>
      <left style="thin">
        <color rgb="FF1F4E79"/>
      </left>
      <right style="thin">
        <color rgb="FF1F4E79"/>
      </right>
      <top style="medium">
        <color rgb="FF1F4E79"/>
      </top>
      <bottom style="medium">
        <color rgb="FF1F4E79"/>
      </bottom>
      <diagonal/>
    </border>
    <border>
      <left style="thin">
        <color rgb="FFD9D9D9"/>
      </left>
      <right style="thin">
        <color rgb="FFD9D9D9"/>
      </right>
      <top style="thin">
        <color rgb="FFD9D9D9"/>
      </top>
      <bottom style="thin">
        <color rgb="FFD9D9D9"/>
      </bottom>
      <diagonal/>
    </border>
    <border>
      <left/>
      <right/>
      <top style="thin">
        <color rgb="FF1F4E79"/>
      </top>
      <bottom style="double">
        <color rgb="FF1F4E7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horizontal="left" vertical="center"/>
    </xf>
    <xf numFmtId="0" fontId="4" fillId="0" borderId="2" applyAlignment="1" pivotButton="0" quotePrefix="0" xfId="0">
      <alignment horizontal="center" vertical="center"/>
    </xf>
    <xf numFmtId="3" fontId="4" fillId="0" borderId="2" applyAlignment="1" pivotButton="0" quotePrefix="0" xfId="0">
      <alignment horizontal="center" vertical="center"/>
    </xf>
    <xf numFmtId="164" fontId="4" fillId="0" borderId="2" applyAlignment="1" pivotButton="0" quotePrefix="0" xfId="0">
      <alignment horizontal="right" vertical="center"/>
    </xf>
    <xf numFmtId="0" fontId="4" fillId="3" borderId="2" applyAlignment="1" pivotButton="0" quotePrefix="0" xfId="0">
      <alignment horizontal="left" vertical="center"/>
    </xf>
    <xf numFmtId="0" fontId="4" fillId="3" borderId="2" applyAlignment="1" pivotButton="0" quotePrefix="0" xfId="0">
      <alignment horizontal="center" vertical="center"/>
    </xf>
    <xf numFmtId="3" fontId="4" fillId="3" borderId="2" applyAlignment="1" pivotButton="0" quotePrefix="0" xfId="0">
      <alignment horizontal="center" vertical="center"/>
    </xf>
    <xf numFmtId="164" fontId="4" fillId="3" borderId="2" applyAlignment="1" pivotButton="0" quotePrefix="0" xfId="0">
      <alignment horizontal="right" vertical="center"/>
    </xf>
    <xf numFmtId="0" fontId="5" fillId="0" borderId="3" pivotButton="0" quotePrefix="0" xfId="0"/>
    <xf numFmtId="3" fontId="5" fillId="0" borderId="3" applyAlignment="1" pivotButton="0" quotePrefix="0" xfId="0">
      <alignment horizontal="center" vertical="center"/>
    </xf>
    <xf numFmtId="164" fontId="5" fillId="0" borderId="3" applyAlignment="1" pivotButton="0" quotePrefix="0" xfId="0">
      <alignment horizontal="right" vertical="center"/>
    </xf>
    <xf numFmtId="0" fontId="4" fillId="3" borderId="4" applyAlignment="1" pivotButton="0" quotePrefix="0" xfId="0">
      <alignment horizontal="center" vertical="center"/>
    </xf>
    <xf numFmtId="0" fontId="4" fillId="5" borderId="2" applyAlignment="1" pivotButton="0" quotePrefix="0" xfId="0">
      <alignment horizontal="left" vertical="center"/>
    </xf>
    <xf numFmtId="0" fontId="4" fillId="7" borderId="2" applyAlignment="1" pivotButton="0" quotePrefix="0" xfId="0">
      <alignment horizontal="left" vertical="center"/>
    </xf>
    <xf numFmtId="0" fontId="8" fillId="0" borderId="0" pivotButton="0" quotePrefix="0" xfId="0"/>
    <xf numFmtId="0" fontId="4" fillId="0" borderId="0" applyAlignment="1" pivotButton="0" quotePrefix="0" xfId="0">
      <alignment horizontal="left" vertical="center"/>
    </xf>
    <xf numFmtId="0" fontId="6" fillId="4" borderId="2" applyAlignment="1" pivotButton="0" quotePrefix="0" xfId="0">
      <alignment vertical="center"/>
    </xf>
    <xf numFmtId="0" fontId="0" fillId="0" borderId="4" pivotButton="0" quotePrefix="0" xfId="0"/>
    <xf numFmtId="0" fontId="0" fillId="0" borderId="5" pivotButton="0" quotePrefix="0" xfId="0"/>
    <xf numFmtId="0" fontId="5" fillId="0" borderId="3" applyAlignment="1" pivotButton="0" quotePrefix="0" xfId="0">
      <alignment vertical="center"/>
    </xf>
    <xf numFmtId="0" fontId="6" fillId="4" borderId="5" applyAlignment="1" pivotButton="0" quotePrefix="0" xfId="0">
      <alignment vertical="center"/>
    </xf>
    <xf numFmtId="0" fontId="6" fillId="4" borderId="6" applyAlignment="1" pivotButton="0" quotePrefix="0" xfId="0">
      <alignment vertical="center"/>
    </xf>
    <xf numFmtId="0" fontId="6" fillId="4" borderId="4" applyAlignment="1" pivotButton="0" quotePrefix="0" xfId="0">
      <alignment vertical="center"/>
    </xf>
    <xf numFmtId="0" fontId="4" fillId="3" borderId="0" applyAlignment="1" pivotButton="0" quotePrefix="0" xfId="0">
      <alignment horizontal="left" vertical="center"/>
    </xf>
    <xf numFmtId="0" fontId="4" fillId="8" borderId="2" applyAlignment="1" pivotButton="0" quotePrefix="0" xfId="0">
      <alignment horizontal="left" vertical="center"/>
    </xf>
    <xf numFmtId="0" fontId="9" fillId="5" borderId="0" pivotButton="0" quotePrefix="0" xfId="0"/>
    <xf numFmtId="0" fontId="10" fillId="6" borderId="2" applyAlignment="1" pivotButton="0" quotePrefix="0" xfId="0">
      <alignment horizontal="left" vertical="center"/>
    </xf>
    <xf numFmtId="0" fontId="4" fillId="5" borderId="0" applyAlignment="1" pivotButton="0" quotePrefix="0" xfId="0">
      <alignment horizontal="left" vertical="center"/>
    </xf>
    <xf numFmtId="0" fontId="0" fillId="8" borderId="0" pivotButton="0" quotePrefix="0" xfId="0"/>
    <xf numFmtId="0" fontId="11" fillId="5" borderId="2" applyAlignment="1" pivotButton="0" quotePrefix="0" xfId="0">
      <alignment horizontal="left" vertical="center"/>
    </xf>
    <xf numFmtId="0" fontId="4" fillId="6" borderId="2" applyAlignment="1" pivotButton="0" quotePrefix="0" xfId="0">
      <alignment horizontal="left" vertical="center"/>
    </xf>
    <xf numFmtId="0" fontId="4" fillId="3" borderId="7" applyAlignment="1" pivotButton="0" quotePrefix="0" xfId="0">
      <alignment vertical="center"/>
    </xf>
    <xf numFmtId="0" fontId="4" fillId="3" borderId="8" applyAlignment="1" pivotButton="0" quotePrefix="0" xfId="0">
      <alignment vertical="center"/>
    </xf>
    <xf numFmtId="0" fontId="4" fillId="3" borderId="9" applyAlignment="1" pivotButton="0" quotePrefix="0" xfId="0">
      <alignment vertical="center"/>
    </xf>
    <xf numFmtId="0" fontId="4" fillId="3" borderId="0" applyAlignment="1" pivotButton="0" quotePrefix="0" xfId="0">
      <alignment vertical="center"/>
    </xf>
    <xf numFmtId="164" fontId="4" fillId="0" borderId="2" applyAlignment="1" pivotButton="0" quotePrefix="0" xfId="0">
      <alignment horizontal="right" vertical="center"/>
    </xf>
    <xf numFmtId="164" fontId="4" fillId="3" borderId="2" applyAlignment="1" pivotButton="0" quotePrefix="0" xfId="0">
      <alignment horizontal="right" vertical="center"/>
    </xf>
    <xf numFmtId="164" fontId="5" fillId="0" borderId="3" applyAlignment="1" pivotButton="0" quotePrefix="0" xfId="0">
      <alignment horizontal="right" vertical="center"/>
    </xf>
    <xf numFmtId="0" fontId="12" fillId="0" borderId="0" pivotButton="0" quotePrefix="0" xfId="0"/>
    <xf numFmtId="0" fontId="0" fillId="0" borderId="0" applyAlignment="1" pivotButton="0" quotePrefix="0" xfId="0">
      <alignment vertical="top" wrapText="1"/>
    </xf>
    <xf numFmtId="0" fontId="13" fillId="9" borderId="10" applyAlignment="1" pivotButton="0" quotePrefix="0" xfId="0">
      <alignment horizontal="center" vertical="center" wrapText="1"/>
    </xf>
    <xf numFmtId="0" fontId="0" fillId="0" borderId="10" applyAlignment="1" pivotButton="0" quotePrefix="0" xfId="0">
      <alignment vertical="top" wrapText="1"/>
    </xf>
    <xf numFmtId="0" fontId="0" fillId="0" borderId="10" applyAlignment="1" pivotButton="0" quotePrefix="0" xfId="0">
      <alignment horizontal="center" vertical="center" wrapText="1"/>
    </xf>
    <xf numFmtId="0" fontId="14" fillId="10" borderId="10" applyAlignment="1" pivotButton="0" quotePrefix="0" xfId="0">
      <alignment horizontal="center" vertical="center" wrapText="1"/>
    </xf>
    <xf numFmtId="0" fontId="0" fillId="11" borderId="10" applyAlignment="1" pivotButton="0" quotePrefix="0" xfId="0">
      <alignment horizontal="center" vertical="center" wrapText="1"/>
    </xf>
    <xf numFmtId="0" fontId="0" fillId="10" borderId="10" applyAlignment="1" pivotButton="0" quotePrefix="0" xfId="0">
      <alignment horizontal="center" vertical="center" wrapText="1"/>
    </xf>
    <xf numFmtId="0" fontId="0" fillId="12" borderId="10" applyAlignment="1" pivotButton="0" quotePrefix="0" xfId="0">
      <alignment horizontal="center" vertical="center" wrapText="1"/>
    </xf>
    <xf numFmtId="0" fontId="15" fillId="13" borderId="10" applyAlignment="1" pivotButton="0" quotePrefix="0" xfId="0">
      <alignment horizontal="center" vertical="center" wrapText="1"/>
    </xf>
    <xf numFmtId="0" fontId="14" fillId="11" borderId="10" applyAlignment="1" pivotButton="0" quotePrefix="0" xfId="0">
      <alignment horizontal="center" vertical="center" wrapText="1"/>
    </xf>
    <xf numFmtId="0" fontId="14" fillId="12" borderId="10" applyAlignment="1" pivotButton="0" quotePrefix="0" xfId="0">
      <alignment horizontal="center" vertical="center" wrapText="1"/>
    </xf>
    <xf numFmtId="0" fontId="14" fillId="14" borderId="10" applyAlignment="1" pivotButton="0" quotePrefix="0" xfId="0">
      <alignment horizontal="center" vertical="center" wrapText="1"/>
    </xf>
    <xf numFmtId="0" fontId="16" fillId="0" borderId="0" pivotButton="0" quotePrefix="0" xfId="0"/>
    <xf numFmtId="0" fontId="16" fillId="14" borderId="0" pivotButton="0" quotePrefix="0" xfId="0"/>
    <xf numFmtId="0" fontId="16" fillId="10" borderId="0" pivotButton="0" quotePrefix="0" xfId="0"/>
    <xf numFmtId="0" fontId="16" fillId="11" borderId="0" pivotButton="0" quotePrefix="0" xfId="0"/>
    <xf numFmtId="0" fontId="16" fillId="12" borderId="0" pivotButton="0" quotePrefix="0" xfId="0"/>
    <xf numFmtId="0" fontId="17" fillId="0" borderId="0" pivotButton="0" quotePrefix="0" xfId="0"/>
    <xf numFmtId="0" fontId="16" fillId="0" borderId="10" pivotButton="0" quotePrefix="0" xfId="0"/>
    <xf numFmtId="0" fontId="18"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58"/>
  <sheetViews>
    <sheetView tabSelected="1" zoomScale="87" workbookViewId="0">
      <pane ySplit="4" topLeftCell="A42" activePane="bottomLeft" state="frozen"/>
      <selection pane="bottomLeft" activeCell="F51" sqref="F51:H52"/>
    </sheetView>
  </sheetViews>
  <sheetFormatPr baseColWidth="8" defaultRowHeight="13.5" customHeight="1"/>
  <cols>
    <col width="20" customWidth="1" min="1" max="1"/>
    <col width="32" customWidth="1" min="2" max="2"/>
    <col width="24" customWidth="1" min="3" max="4"/>
    <col width="10" customWidth="1" min="5" max="5"/>
    <col width="10.7109375" customWidth="1" min="6" max="9"/>
    <col width="35.42578125" customWidth="1" min="10" max="10"/>
    <col width="16" customWidth="1" min="11" max="12"/>
  </cols>
  <sheetData>
    <row r="1" ht="21" customHeight="1">
      <c r="A1" s="1" t="inlineStr">
        <is>
          <t>DAC-NV 機材・部品購入構成表 (NV x DAC Purchase List)</t>
        </is>
      </c>
    </row>
    <row r="2" ht="15" customHeight="1">
      <c r="A2" s="2" t="n"/>
    </row>
    <row r="4" ht="26.1" customHeight="1">
      <c r="A4" s="3" t="inlineStr">
        <is>
          <t>システム</t>
        </is>
      </c>
      <c r="B4" s="3" t="inlineStr">
        <is>
          <t>アイテム名</t>
        </is>
      </c>
      <c r="C4" s="3" t="inlineStr">
        <is>
          <t>メーカー</t>
        </is>
      </c>
      <c r="D4" s="3" t="inlineStr">
        <is>
          <t>型番</t>
        </is>
      </c>
      <c r="E4" s="3" t="inlineStr">
        <is>
          <t>個数</t>
        </is>
      </c>
      <c r="F4" s="3" t="inlineStr">
        <is>
          <t>発送</t>
        </is>
      </c>
      <c r="G4" s="3" t="inlineStr">
        <is>
          <t>手持ち</t>
        </is>
      </c>
      <c r="H4" s="3" t="inlineStr">
        <is>
          <t>現地調達</t>
        </is>
      </c>
      <c r="I4" s="3" t="inlineStr">
        <is>
          <t>再発注</t>
        </is>
      </c>
      <c r="J4" s="3" t="inlineStr">
        <is>
          <t>備考</t>
        </is>
      </c>
      <c r="K4" s="3" t="inlineStr">
        <is>
          <t>単価（円）</t>
        </is>
      </c>
      <c r="L4" s="3" t="inlineStr">
        <is>
          <t>金額（円）</t>
        </is>
      </c>
    </row>
    <row r="5" ht="21.95" customHeight="1">
      <c r="A5" s="20" t="inlineStr">
        <is>
          <t>DACシステム</t>
        </is>
      </c>
      <c r="B5" s="4" t="inlineStr">
        <is>
          <t>NV注入ダイヤモンドアンビル</t>
        </is>
      </c>
      <c r="C5" s="5" t="inlineStr">
        <is>
          <t>-</t>
        </is>
      </c>
      <c r="D5" s="5" t="inlineStr">
        <is>
          <t>-</t>
        </is>
      </c>
      <c r="E5" s="6" t="n">
        <v>2</v>
      </c>
      <c r="F5" s="4" t="n"/>
      <c r="G5" s="17" t="n"/>
      <c r="H5" s="4" t="n"/>
      <c r="I5" s="4" t="n"/>
      <c r="J5" s="4" t="inlineStr">
        <is>
          <t>太田研から2個</t>
        </is>
      </c>
      <c r="K5" s="39" t="n"/>
      <c r="L5" s="39">
        <f>IF(OR(E5="",K5=""),"-",E5*K5)</f>
        <v/>
      </c>
    </row>
    <row r="6" ht="21.95" customHeight="1">
      <c r="A6" s="24" t="n"/>
      <c r="B6" s="4" t="inlineStr">
        <is>
          <t>対向ダイヤモンドアンビル</t>
        </is>
      </c>
      <c r="C6" s="5" t="n"/>
      <c r="D6" s="5" t="n"/>
      <c r="E6" s="6" t="n">
        <v>2</v>
      </c>
      <c r="F6" s="4" t="n"/>
      <c r="G6" s="17" t="n"/>
      <c r="H6" s="4" t="n"/>
      <c r="I6" s="4" t="n"/>
      <c r="J6" s="4" t="inlineStr">
        <is>
          <t>太田研から2個、（荒井研から1個）</t>
        </is>
      </c>
      <c r="K6" s="39" t="n"/>
      <c r="L6" s="39" t="n"/>
    </row>
    <row r="7" ht="21.95" customHeight="1">
      <c r="A7" s="24" t="n"/>
      <c r="B7" s="8" t="inlineStr">
        <is>
          <t>ベリリウム銅DAC</t>
        </is>
      </c>
      <c r="C7" s="9" t="inlineStr">
        <is>
          <t>-</t>
        </is>
      </c>
      <c r="D7" s="9" t="inlineStr">
        <is>
          <t>-</t>
        </is>
      </c>
      <c r="E7" s="10" t="n">
        <v>2</v>
      </c>
      <c r="F7" s="8" t="n"/>
      <c r="G7" s="17" t="n"/>
      <c r="H7" s="8" t="n"/>
      <c r="I7" s="8" t="n"/>
      <c r="J7" s="8" t="inlineStr">
        <is>
          <t>荒井研から1個、太田研から1個</t>
        </is>
      </c>
      <c r="K7" s="40" t="n"/>
      <c r="L7" s="40">
        <f>IF(OR(E7="",K7=""),"-",E7*K7)</f>
        <v/>
      </c>
    </row>
    <row r="8" ht="21.95" customHeight="1">
      <c r="A8" s="26" t="n"/>
      <c r="B8" s="8" t="inlineStr">
        <is>
          <t>ジルコニア台座</t>
        </is>
      </c>
      <c r="C8" s="9" t="n"/>
      <c r="D8" s="9" t="n"/>
      <c r="E8" s="10" t="n">
        <v>2</v>
      </c>
      <c r="F8" s="8" t="n"/>
      <c r="G8" s="17" t="n"/>
      <c r="H8" s="8" t="n"/>
      <c r="I8" s="8" t="n"/>
      <c r="J8" s="8" t="n"/>
      <c r="K8" s="40" t="n"/>
      <c r="L8" s="40" t="n"/>
    </row>
    <row r="9" ht="21.95" customHeight="1">
      <c r="A9" s="26" t="n"/>
      <c r="B9" s="8" t="inlineStr">
        <is>
          <t>ガスケット</t>
        </is>
      </c>
      <c r="C9" s="9" t="n"/>
      <c r="D9" s="9" t="n"/>
      <c r="E9" s="10" t="inlineStr">
        <is>
          <t>2，3</t>
        </is>
      </c>
      <c r="F9" s="8" t="n"/>
      <c r="G9" s="17" t="n"/>
      <c r="H9" s="8" t="n"/>
      <c r="I9" s="8" t="n"/>
      <c r="J9" s="8" t="n"/>
      <c r="K9" s="40" t="n"/>
      <c r="L9" s="40" t="n"/>
    </row>
    <row r="10" ht="21.95" customHeight="1">
      <c r="A10" s="26" t="n"/>
      <c r="B10" s="8" t="inlineStr">
        <is>
          <t>アラルダイト</t>
        </is>
      </c>
      <c r="C10" s="9" t="n"/>
      <c r="D10" s="9" t="n"/>
      <c r="E10" s="10" t="n">
        <v>1</v>
      </c>
      <c r="F10" s="8" t="n"/>
      <c r="G10" s="17" t="n"/>
      <c r="H10" s="8" t="n"/>
      <c r="I10" s="8" t="n"/>
      <c r="J10" s="8" t="n"/>
      <c r="K10" s="40" t="n"/>
      <c r="L10" s="40" t="n"/>
    </row>
    <row r="11" ht="21.95" customHeight="1">
      <c r="A11" s="25" t="inlineStr">
        <is>
          <t>マイクロ波システム</t>
        </is>
      </c>
      <c r="B11" s="4" t="inlineStr">
        <is>
          <t>白金箔</t>
        </is>
      </c>
      <c r="C11" s="5" t="n"/>
      <c r="D11" s="5" t="inlineStr">
        <is>
          <t>-</t>
        </is>
      </c>
      <c r="E11" s="6" t="n">
        <v>1</v>
      </c>
      <c r="F11" s="4" t="n"/>
      <c r="G11" s="17" t="n"/>
      <c r="H11" s="4" t="n"/>
      <c r="I11" s="4" t="n"/>
      <c r="J11" s="4" t="n"/>
      <c r="K11" s="39" t="n"/>
      <c r="L11" s="39">
        <f>IF(OR(E11="",K11=""),"-",E11*K11)</f>
        <v/>
      </c>
    </row>
    <row r="12" ht="21.95" customHeight="1">
      <c r="A12" s="26" t="n"/>
      <c r="B12" s="8" t="inlineStr">
        <is>
          <t>エナメル線</t>
        </is>
      </c>
      <c r="C12" s="9" t="inlineStr">
        <is>
          <t>-</t>
        </is>
      </c>
      <c r="D12" s="9" t="inlineStr">
        <is>
          <t>-</t>
        </is>
      </c>
      <c r="E12" s="10" t="n">
        <v>1</v>
      </c>
      <c r="F12" s="8" t="n"/>
      <c r="G12" s="17" t="n"/>
      <c r="H12" s="8" t="n"/>
      <c r="I12" s="8" t="n"/>
      <c r="J12" s="8" t="n"/>
      <c r="K12" s="40" t="n"/>
      <c r="L12" s="40">
        <f>IF(OR(E12="",K12=""),"-",E12*K12)</f>
        <v/>
      </c>
    </row>
    <row r="13" ht="21.95" customHeight="1">
      <c r="A13" s="26" t="n"/>
      <c r="B13" s="4" t="inlineStr">
        <is>
          <t>SMA同軸ケーブル（長さ609mm）</t>
        </is>
      </c>
      <c r="C13" s="5" t="inlineStr">
        <is>
          <t>Thorlabs</t>
        </is>
      </c>
      <c r="D13" s="5" t="inlineStr">
        <is>
          <t>CA2924</t>
        </is>
      </c>
      <c r="E13" s="6" t="n">
        <v>2</v>
      </c>
      <c r="F13" s="4" t="n"/>
      <c r="G13" s="4" t="n"/>
      <c r="H13" s="16" t="n"/>
      <c r="I13" s="4" t="n"/>
      <c r="J13" s="4" t="inlineStr">
        <is>
          <t>同軸ケーブルは合計で2個あればいいが、長さ調節のために大小2つずつ準備</t>
        </is>
      </c>
      <c r="K13" s="39" t="n"/>
      <c r="L13" s="39">
        <f>IF(OR(E13="",K13=""),"-",E13*K13)</f>
        <v/>
      </c>
    </row>
    <row r="14" ht="21.95" customHeight="1">
      <c r="A14" s="26" t="n"/>
      <c r="B14" s="18" t="inlineStr">
        <is>
          <t>SMA同軸ケーブル（長さ1219mm）</t>
        </is>
      </c>
      <c r="C14" s="5" t="inlineStr">
        <is>
          <t>Thorlabs</t>
        </is>
      </c>
      <c r="D14" s="5" t="inlineStr">
        <is>
          <t>CA1219</t>
        </is>
      </c>
      <c r="E14" s="6" t="n">
        <v>2</v>
      </c>
      <c r="F14" s="4" t="n"/>
      <c r="G14" s="4" t="n"/>
      <c r="H14" s="16" t="n"/>
      <c r="I14" s="4" t="n"/>
      <c r="J14" s="8" t="n"/>
      <c r="K14" s="39" t="n"/>
      <c r="L14" s="39" t="n"/>
    </row>
    <row r="15" ht="21.95" customHeight="1">
      <c r="A15" s="26" t="n"/>
      <c r="B15" s="4" t="inlineStr">
        <is>
          <t>マイクロ波アンプ</t>
        </is>
      </c>
      <c r="C15" s="5" t="inlineStr">
        <is>
          <t>Mini-Circuits</t>
        </is>
      </c>
      <c r="D15" s="5" t="inlineStr">
        <is>
          <t>139-ZHL-16W-43-S</t>
        </is>
      </c>
      <c r="E15" s="6" t="n">
        <v>1</v>
      </c>
      <c r="F15" s="28" t="n"/>
      <c r="G15" s="4" t="n"/>
      <c r="H15" s="4" t="n"/>
      <c r="I15" s="34" t="n"/>
      <c r="J15" s="4" t="n"/>
      <c r="K15" s="39" t="n"/>
      <c r="L15" s="39">
        <f>IF(OR(E15="",K15=""),"-",E15*K15)</f>
        <v/>
      </c>
    </row>
    <row r="16" ht="21.95" customHeight="1">
      <c r="A16" s="26" t="n"/>
      <c r="B16" s="8" t="inlineStr">
        <is>
          <t>信号発生器 (Signal Generator)</t>
        </is>
      </c>
      <c r="C16" s="9" t="inlineStr">
        <is>
          <t>Windfreak</t>
        </is>
      </c>
      <c r="D16" s="9" t="inlineStr">
        <is>
          <t>SynthHD</t>
        </is>
      </c>
      <c r="E16" s="10" t="n">
        <v>1</v>
      </c>
      <c r="F16" s="28" t="n"/>
      <c r="G16" s="8" t="n"/>
      <c r="H16" s="8" t="n"/>
      <c r="I16" s="34" t="n"/>
      <c r="J16" s="8" t="n"/>
      <c r="K16" s="40" t="n"/>
      <c r="L16" s="40">
        <f>IF(OR(E16="",K16=""),"-",E16*K16)</f>
        <v/>
      </c>
    </row>
    <row r="17" ht="21.95" customHeight="1">
      <c r="A17" s="26" t="n"/>
      <c r="B17" s="4" t="inlineStr">
        <is>
          <t>アンプ用DC電源</t>
        </is>
      </c>
      <c r="C17" s="5" t="inlineStr">
        <is>
          <t xml:space="preserve">Kikusui </t>
        </is>
      </c>
      <c r="D17" s="5" t="inlineStr">
        <is>
          <t>PWR401L</t>
        </is>
      </c>
      <c r="E17" s="6" t="n">
        <v>1</v>
      </c>
      <c r="F17" s="28" t="n"/>
      <c r="G17" s="4" t="n"/>
      <c r="H17" s="4" t="n"/>
      <c r="I17" s="34" t="n"/>
      <c r="J17" s="4" t="n"/>
      <c r="K17" s="39" t="n"/>
      <c r="L17" s="39">
        <f>IF(OR(E17="",K17=""),"-",E17*K17)</f>
        <v/>
      </c>
    </row>
    <row r="18" ht="21.95" customHeight="1">
      <c r="A18" s="26" t="n"/>
      <c r="B18" s="8" t="inlineStr">
        <is>
          <t>導波管サーキュレータ</t>
        </is>
      </c>
      <c r="C18" s="9" t="inlineStr">
        <is>
          <t>Pasternack</t>
        </is>
      </c>
      <c r="D18" s="9" t="inlineStr">
        <is>
          <t>PE8401</t>
        </is>
      </c>
      <c r="E18" s="10" t="n">
        <v>1</v>
      </c>
      <c r="F18" s="4" t="n"/>
      <c r="G18" s="8" t="n"/>
      <c r="H18" s="16" t="n"/>
      <c r="I18" s="8" t="n"/>
      <c r="J18" s="8" t="n"/>
      <c r="K18" s="40" t="n"/>
      <c r="L18" s="40">
        <f>IF(OR(E18="",K18=""),"-",E18*K18)</f>
        <v/>
      </c>
    </row>
    <row r="19" ht="21.95" customHeight="1">
      <c r="A19" s="26" t="n"/>
      <c r="B19" s="4" t="inlineStr">
        <is>
          <t>導波管ターミネータ</t>
        </is>
      </c>
      <c r="C19" s="5" t="inlineStr">
        <is>
          <t>Mini-Circuits</t>
        </is>
      </c>
      <c r="D19" s="5" t="inlineStr">
        <is>
          <t>ANNE-50+</t>
        </is>
      </c>
      <c r="E19" s="6" t="n">
        <v>1</v>
      </c>
      <c r="F19" s="4" t="n"/>
      <c r="G19" s="4" t="n"/>
      <c r="H19" s="29" t="n"/>
      <c r="I19" s="4" t="n"/>
      <c r="J19" s="4" t="n"/>
      <c r="K19" s="39" t="n"/>
      <c r="L19" s="39">
        <f>IF(OR(E19="",K19=""),"-",E19*K19)</f>
        <v/>
      </c>
    </row>
    <row r="20" ht="21.95" customHeight="1">
      <c r="A20" s="26" t="n"/>
      <c r="B20" s="4" t="inlineStr">
        <is>
          <t>はんだごて</t>
        </is>
      </c>
      <c r="C20" s="5" t="n"/>
      <c r="D20" s="5" t="n"/>
      <c r="E20" s="6" t="n">
        <v>1</v>
      </c>
      <c r="F20" s="19" t="n"/>
      <c r="G20" s="4" t="n"/>
      <c r="H20" s="16" t="n"/>
      <c r="I20" s="19" t="n"/>
      <c r="J20" s="4" t="n"/>
      <c r="K20" s="39" t="n"/>
      <c r="L20" s="39" t="n"/>
    </row>
    <row r="21" ht="21.95" customHeight="1">
      <c r="A21" s="24" t="n"/>
      <c r="B21" s="4" t="inlineStr">
        <is>
          <t>テープ</t>
        </is>
      </c>
      <c r="C21" s="5" t="n"/>
      <c r="D21" s="5" t="n"/>
      <c r="E21" s="6" t="n"/>
      <c r="F21" s="19" t="n"/>
      <c r="G21" s="4" t="n"/>
      <c r="H21" s="29" t="n"/>
      <c r="I21" s="19" t="n"/>
      <c r="J21" s="4" t="n"/>
      <c r="K21" s="39" t="n"/>
      <c r="L21" s="39" t="n"/>
    </row>
    <row r="22" ht="21.95" customHeight="1">
      <c r="A22" s="20" t="inlineStr">
        <is>
          <t>光学システム</t>
        </is>
      </c>
      <c r="B22" s="8" t="inlineStr">
        <is>
          <t>レーザー</t>
        </is>
      </c>
      <c r="C22" s="9" t="inlineStr">
        <is>
          <t>CNI</t>
        </is>
      </c>
      <c r="D22" s="9" t="inlineStr">
        <is>
          <t>MLL-S-532B-300mW</t>
        </is>
      </c>
      <c r="E22" s="10" t="n">
        <v>1</v>
      </c>
      <c r="F22" s="32" t="n"/>
      <c r="G22" s="8" t="n"/>
      <c r="H22" s="8" t="n"/>
      <c r="J22" s="8" t="inlineStr">
        <is>
          <t>発注したが届いてない、ハプティクスから借りてる</t>
        </is>
      </c>
      <c r="K22" s="40" t="n"/>
      <c r="L22" s="40">
        <f>IF(OR(E22="",K22=""),"-",E22*K22)</f>
        <v/>
      </c>
    </row>
    <row r="23" ht="21.95" customHeight="1">
      <c r="A23" s="21" t="n"/>
      <c r="B23" s="4" t="inlineStr">
        <is>
          <t>対物レンズ</t>
        </is>
      </c>
      <c r="C23" s="5" t="inlineStr">
        <is>
          <t>Mitutoyo</t>
        </is>
      </c>
      <c r="D23" s="5" t="inlineStr">
        <is>
          <t>M-PLAN APO SL 10X</t>
        </is>
      </c>
      <c r="E23" s="6" t="n">
        <v>1</v>
      </c>
      <c r="F23" s="28" t="n"/>
      <c r="G23" s="4" t="n"/>
      <c r="H23" s="4" t="n"/>
      <c r="I23" s="30" t="n"/>
      <c r="J23" s="4" t="n"/>
      <c r="K23" s="39" t="n"/>
      <c r="L23" s="39">
        <f>IF(OR(E23="",K23=""),"-",E23*K23)</f>
        <v/>
      </c>
    </row>
    <row r="24" ht="21.95" customHeight="1">
      <c r="A24" s="21" t="n"/>
      <c r="B24" s="4" t="inlineStr">
        <is>
          <t>ミラー</t>
        </is>
      </c>
      <c r="C24" s="5" t="inlineStr">
        <is>
          <t>Thorlabs</t>
        </is>
      </c>
      <c r="D24" s="5" t="inlineStr">
        <is>
          <t>BB1-E02</t>
        </is>
      </c>
      <c r="E24" s="6" t="n">
        <v>5</v>
      </c>
      <c r="F24" s="28" t="n"/>
      <c r="G24" s="4" t="n"/>
      <c r="H24" s="4" t="n"/>
      <c r="I24" s="30" t="n"/>
      <c r="J24" s="4" t="n"/>
      <c r="K24" s="39" t="n"/>
      <c r="L24" s="39">
        <f>IF(OR(E24="",K24=""),"-",E24*K24)</f>
        <v/>
      </c>
    </row>
    <row r="25" ht="21.95" customHeight="1">
      <c r="A25" s="21" t="n"/>
      <c r="B25" s="8" t="inlineStr">
        <is>
          <t>ダイクロイックミラー</t>
        </is>
      </c>
      <c r="C25" s="9" t="inlineStr">
        <is>
          <t>Thorlabs</t>
        </is>
      </c>
      <c r="D25" s="9" t="inlineStr">
        <is>
          <t>DMLP567R</t>
        </is>
      </c>
      <c r="E25" s="10" t="n">
        <v>1</v>
      </c>
      <c r="F25" s="28" t="n"/>
      <c r="G25" s="8" t="n"/>
      <c r="H25" s="8" t="n"/>
      <c r="I25" s="30" t="n"/>
      <c r="J25" s="8" t="n"/>
      <c r="K25" s="40" t="n"/>
      <c r="L25" s="40">
        <f>IF(OR(E25="",K25=""),"-",E25*K25)</f>
        <v/>
      </c>
    </row>
    <row r="26" ht="21.95" customHeight="1">
      <c r="A26" s="21" t="n"/>
      <c r="B26" s="4" t="inlineStr">
        <is>
          <t>ロングパスフィルター？</t>
        </is>
      </c>
      <c r="C26" s="5" t="inlineStr">
        <is>
          <t>Thorlabs</t>
        </is>
      </c>
      <c r="D26" s="5" t="inlineStr">
        <is>
          <t>FELH0650</t>
        </is>
      </c>
      <c r="E26" s="6" t="n">
        <v>1</v>
      </c>
      <c r="F26" s="28" t="n"/>
      <c r="G26" s="4" t="n"/>
      <c r="H26" s="4" t="n"/>
      <c r="I26" s="30" t="n"/>
      <c r="J26" s="4" t="n"/>
      <c r="K26" s="39" t="n"/>
      <c r="L26" s="39">
        <f>IF(OR(E26="",K26=""),"-",E26*K26)</f>
        <v/>
      </c>
    </row>
    <row r="27" ht="21.95" customHeight="1">
      <c r="A27" s="21" t="n"/>
      <c r="B27" s="8" t="inlineStr">
        <is>
          <t>ビームスプリッター</t>
        </is>
      </c>
      <c r="C27" s="9" t="inlineStr">
        <is>
          <t>Thorlabs</t>
        </is>
      </c>
      <c r="D27" s="9" t="inlineStr">
        <is>
          <t>BSN10R</t>
        </is>
      </c>
      <c r="E27" s="10" t="n">
        <v>1</v>
      </c>
      <c r="F27" s="28" t="n"/>
      <c r="G27" s="8" t="n"/>
      <c r="H27" s="8" t="n"/>
      <c r="I27" s="30" t="n"/>
      <c r="J27" s="8" t="n"/>
      <c r="K27" s="40" t="n"/>
      <c r="L27" s="40">
        <f>IF(OR(E27="",K27=""),"-",E27*K27)</f>
        <v/>
      </c>
    </row>
    <row r="28" ht="21.95" customHeight="1">
      <c r="A28" s="21" t="n"/>
      <c r="B28" s="4" t="inlineStr">
        <is>
          <t>アクロマティックダブルレンズ？</t>
        </is>
      </c>
      <c r="C28" s="5" t="inlineStr">
        <is>
          <t>Thorlabs</t>
        </is>
      </c>
      <c r="D28" s="5" t="inlineStr">
        <is>
          <t>AC254-200-A-ML</t>
        </is>
      </c>
      <c r="E28" s="6" t="n">
        <v>1</v>
      </c>
      <c r="F28" s="28" t="n"/>
      <c r="G28" s="4" t="n"/>
      <c r="H28" s="4" t="n"/>
      <c r="I28" s="30" t="n"/>
      <c r="J28" s="4" t="n"/>
      <c r="K28" s="39" t="n"/>
      <c r="L28" s="39">
        <f>IF(OR(E28="",K28=""),"-",E28*K28)</f>
        <v/>
      </c>
    </row>
    <row r="29" ht="21.95" customHeight="1">
      <c r="A29" s="21" t="n"/>
      <c r="B29" s="4" t="inlineStr">
        <is>
          <t>広視野ODMR用平凸レンズ</t>
        </is>
      </c>
      <c r="C29" s="9" t="inlineStr">
        <is>
          <t>Thorlabs</t>
        </is>
      </c>
      <c r="D29" s="9" t="inlineStr">
        <is>
          <t>LA1509-A</t>
        </is>
      </c>
      <c r="E29" s="6" t="n">
        <v>1</v>
      </c>
      <c r="F29" s="28" t="n"/>
      <c r="G29" s="4" t="n"/>
      <c r="H29" s="4" t="n"/>
      <c r="I29" s="30" t="n"/>
      <c r="J29" s="4" t="inlineStr">
        <is>
          <t>焦点距離は光学配置に依存</t>
        </is>
      </c>
      <c r="K29" s="39" t="n"/>
      <c r="L29" s="39">
        <f>IF(OR(E29="",K29=""),"-",E29*K29)</f>
        <v/>
      </c>
    </row>
    <row r="30" ht="21.95" customHeight="1">
      <c r="A30" s="21" t="n"/>
      <c r="B30" s="8" t="inlineStr">
        <is>
          <t>ステージ</t>
        </is>
      </c>
      <c r="C30" s="15" t="inlineStr">
        <is>
          <t>シグマ光機</t>
        </is>
      </c>
      <c r="D30" s="9" t="inlineStr">
        <is>
          <t>NTSD-405C</t>
        </is>
      </c>
      <c r="E30" s="10" t="n">
        <v>1</v>
      </c>
      <c r="F30" s="28" t="n"/>
      <c r="G30" s="8" t="n"/>
      <c r="H30" s="8" t="n"/>
      <c r="I30" s="34" t="n"/>
      <c r="J30" s="8" t="n"/>
      <c r="K30" s="40" t="n"/>
      <c r="L30" s="40">
        <f>IF(OR(E30="",K30=""),"-",E30*K30)</f>
        <v/>
      </c>
    </row>
    <row r="31" ht="21.95" customHeight="1">
      <c r="A31" s="21" t="n"/>
      <c r="B31" s="8" t="inlineStr">
        <is>
          <t>DAC固定器具</t>
        </is>
      </c>
      <c r="C31" s="9" t="inlineStr">
        <is>
          <t>シグマ光機</t>
        </is>
      </c>
      <c r="D31" s="9" t="inlineStr">
        <is>
          <t>不明</t>
        </is>
      </c>
      <c r="E31" s="10" t="n">
        <v>1</v>
      </c>
      <c r="F31" s="28" t="n"/>
      <c r="G31" s="8" t="n"/>
      <c r="H31" s="8" t="n"/>
      <c r="I31" s="34" t="n"/>
      <c r="J31" s="8" t="n"/>
      <c r="K31" s="40" t="n"/>
      <c r="L31" s="40">
        <f>IF(OR(E31="",K31=""),"-",E31*K31)</f>
        <v/>
      </c>
    </row>
    <row r="32" ht="21.95" customHeight="1">
      <c r="A32" s="21" t="n"/>
      <c r="B32" s="8" t="inlineStr">
        <is>
          <t>ステージの治具</t>
        </is>
      </c>
      <c r="C32" s="9" t="inlineStr">
        <is>
          <t>ミスミ</t>
        </is>
      </c>
      <c r="D32" s="9" t="inlineStr">
        <is>
          <t>オーダーメイド</t>
        </is>
      </c>
      <c r="E32" s="10" t="n">
        <v>1</v>
      </c>
      <c r="F32" s="28" t="n"/>
      <c r="G32" s="8" t="n"/>
      <c r="H32" s="8" t="n"/>
      <c r="I32" s="34" t="n"/>
      <c r="J32" s="8" t="n"/>
      <c r="K32" s="40" t="n"/>
      <c r="L32" s="40">
        <f>IF(OR(E32="",K32=""),"-",E32*K32)</f>
        <v/>
      </c>
    </row>
    <row r="33" ht="21.95" customHeight="1">
      <c r="A33" s="21" t="n"/>
      <c r="B33" s="4" t="inlineStr">
        <is>
          <t>落射照明用マウント付きLED</t>
        </is>
      </c>
      <c r="C33" s="5" t="inlineStr">
        <is>
          <t>Thorlabs</t>
        </is>
      </c>
      <c r="D33" s="5" t="inlineStr">
        <is>
          <t>M660L4</t>
        </is>
      </c>
      <c r="E33" s="6" t="n">
        <v>1</v>
      </c>
      <c r="F33" s="28" t="n"/>
      <c r="G33" s="4" t="n"/>
      <c r="H33" s="4" t="n"/>
      <c r="I33" s="34" t="n"/>
      <c r="J33" s="4" t="n"/>
      <c r="K33" s="39" t="n"/>
      <c r="L33" s="39">
        <f>IF(OR(E33="",K33=""),"-",E33*K33)</f>
        <v/>
      </c>
    </row>
    <row r="34" ht="21.95" customHeight="1">
      <c r="A34" s="21" t="n"/>
      <c r="B34" s="8" t="inlineStr">
        <is>
          <t>コリメーションアダプター</t>
        </is>
      </c>
      <c r="C34" s="9" t="inlineStr">
        <is>
          <t>Thorlabs</t>
        </is>
      </c>
      <c r="D34" s="9" t="inlineStr">
        <is>
          <t>SM1U25-A</t>
        </is>
      </c>
      <c r="E34" s="10" t="n">
        <v>1</v>
      </c>
      <c r="F34" s="28" t="n"/>
      <c r="G34" s="8" t="n"/>
      <c r="H34" s="8" t="n"/>
      <c r="I34" s="34" t="n"/>
      <c r="J34" s="8" t="n"/>
      <c r="K34" s="40" t="n"/>
      <c r="L34" s="40">
        <f>IF(OR(E34="",K34=""),"-",E34*K34)</f>
        <v/>
      </c>
    </row>
    <row r="35" ht="21.95" customHeight="1">
      <c r="A35" s="21" t="n"/>
      <c r="B35" s="4" t="inlineStr">
        <is>
          <t>LEDドライバー</t>
        </is>
      </c>
      <c r="C35" s="5" t="inlineStr">
        <is>
          <t>Thorlabs</t>
        </is>
      </c>
      <c r="D35" s="5" t="inlineStr">
        <is>
          <t>LEDD1B</t>
        </is>
      </c>
      <c r="E35" s="6" t="n">
        <v>1</v>
      </c>
      <c r="F35" s="28" t="n"/>
      <c r="G35" s="4" t="n"/>
      <c r="H35" s="4" t="n"/>
      <c r="I35" s="34" t="n"/>
      <c r="J35" s="4" t="n"/>
      <c r="K35" s="39" t="n"/>
      <c r="L35" s="39">
        <f>IF(OR(E35="",K35=""),"-",E35*K35)</f>
        <v/>
      </c>
    </row>
    <row r="36" ht="21.95" customHeight="1">
      <c r="A36" s="21" t="n"/>
      <c r="B36" s="4" t="inlineStr">
        <is>
          <t>LEDドライバー用電源</t>
        </is>
      </c>
      <c r="C36" s="5" t="inlineStr">
        <is>
          <t>Thorlabs</t>
        </is>
      </c>
      <c r="D36" s="5" t="inlineStr">
        <is>
          <t>KPS201</t>
        </is>
      </c>
      <c r="E36" s="6" t="n">
        <v>1</v>
      </c>
      <c r="F36" s="28" t="n"/>
      <c r="G36" s="4" t="n"/>
      <c r="H36" s="4" t="n"/>
      <c r="I36" s="34" t="n"/>
      <c r="J36" s="4" t="n"/>
      <c r="K36" s="39" t="n"/>
      <c r="L36" s="39" t="n"/>
    </row>
    <row r="37" ht="21.95" customHeight="1">
      <c r="A37" s="21" t="n"/>
      <c r="B37" s="8" t="inlineStr">
        <is>
          <t>NDフィルター</t>
        </is>
      </c>
      <c r="C37" s="9" t="inlineStr">
        <is>
          <t>Thorlabs</t>
        </is>
      </c>
      <c r="D37" s="9" t="inlineStr">
        <is>
          <t>NE10A-A / NE20A-A</t>
        </is>
      </c>
      <c r="E37" s="10" t="n">
        <v>2</v>
      </c>
      <c r="F37" s="28" t="n"/>
      <c r="G37" s="8" t="n"/>
      <c r="H37" s="8" t="n"/>
      <c r="I37" s="34" t="n"/>
      <c r="J37" s="8" t="n"/>
      <c r="K37" s="40" t="n"/>
      <c r="L37" s="40">
        <f>IF(OR(E37="",K37=""),"-",E37*K37)</f>
        <v/>
      </c>
    </row>
    <row r="38" ht="21.95" customHeight="1">
      <c r="A38" s="21" t="n"/>
      <c r="B38" s="4" t="inlineStr">
        <is>
          <t>クランプフォーク</t>
        </is>
      </c>
      <c r="C38" s="9" t="inlineStr">
        <is>
          <t>Thorlabs</t>
        </is>
      </c>
      <c r="D38" s="9" t="inlineStr">
        <is>
          <t>CF038</t>
        </is>
      </c>
      <c r="E38" s="10" t="n">
        <v>4</v>
      </c>
      <c r="F38" s="4" t="n"/>
      <c r="G38" s="8" t="n"/>
      <c r="H38" s="33" t="n"/>
      <c r="I38" s="8" t="n"/>
      <c r="J38" s="8" t="n"/>
      <c r="K38" s="40" t="n"/>
      <c r="L38" s="40" t="n"/>
    </row>
    <row r="39" ht="21.95" customHeight="1">
      <c r="A39" s="21" t="n"/>
      <c r="B39" s="4" t="inlineStr">
        <is>
          <t>クランプフォーク</t>
        </is>
      </c>
      <c r="C39" s="9" t="inlineStr">
        <is>
          <t>Thorlabs</t>
        </is>
      </c>
      <c r="D39" s="9" t="inlineStr">
        <is>
          <t>CF175</t>
        </is>
      </c>
      <c r="E39" s="10" t="n">
        <v>12</v>
      </c>
      <c r="F39" s="4" t="n"/>
      <c r="G39" s="8" t="n"/>
      <c r="H39" s="33" t="n"/>
      <c r="I39" s="8" t="n"/>
      <c r="J39" s="8" t="n"/>
      <c r="K39" s="40" t="n"/>
      <c r="L39" s="40" t="n"/>
    </row>
    <row r="40" ht="21.95" customHeight="1">
      <c r="A40" s="21" t="n"/>
      <c r="B40" s="8" t="inlineStr">
        <is>
          <t>ベース</t>
        </is>
      </c>
      <c r="C40" s="9" t="inlineStr">
        <is>
          <t>Thorlabs</t>
        </is>
      </c>
      <c r="D40" s="9" t="inlineStr">
        <is>
          <t>BE1/M</t>
        </is>
      </c>
      <c r="E40" s="10" t="n">
        <v>12</v>
      </c>
      <c r="F40" s="4" t="n"/>
      <c r="G40" s="8" t="n"/>
      <c r="H40" s="33" t="n"/>
      <c r="I40" s="8" t="n"/>
      <c r="J40" s="8" t="n"/>
      <c r="K40" s="40" t="n"/>
      <c r="L40" s="40" t="n"/>
    </row>
    <row r="41" ht="21.95" customHeight="1">
      <c r="A41" s="21" t="n"/>
      <c r="B41" s="8" t="inlineStr">
        <is>
          <t>ホルダー</t>
        </is>
      </c>
      <c r="C41" s="9" t="inlineStr">
        <is>
          <t>Thorlabs</t>
        </is>
      </c>
      <c r="D41" s="9" t="inlineStr">
        <is>
          <t>PH30/M</t>
        </is>
      </c>
      <c r="E41" s="10" t="n">
        <v>4</v>
      </c>
      <c r="F41" s="4" t="n"/>
      <c r="G41" s="8" t="n"/>
      <c r="H41" s="33" t="n"/>
      <c r="I41" s="8" t="n"/>
      <c r="J41" s="8" t="n"/>
      <c r="K41" s="40" t="n"/>
      <c r="L41" s="40" t="n"/>
    </row>
    <row r="42" ht="21.95" customHeight="1">
      <c r="A42" s="21" t="n"/>
      <c r="B42" s="8" t="inlineStr">
        <is>
          <t>ホルダー</t>
        </is>
      </c>
      <c r="C42" s="9" t="inlineStr">
        <is>
          <t>Thorlabs</t>
        </is>
      </c>
      <c r="D42" s="9" t="inlineStr">
        <is>
          <t>PH50/M</t>
        </is>
      </c>
      <c r="E42" s="10" t="n">
        <v>8</v>
      </c>
      <c r="F42" s="4" t="n"/>
      <c r="G42" s="8" t="n"/>
      <c r="H42" s="33" t="n"/>
      <c r="I42" s="8" t="n"/>
      <c r="J42" s="8" t="n"/>
      <c r="K42" s="40" t="n"/>
      <c r="L42" s="40" t="n"/>
    </row>
    <row r="43" ht="21.95" customHeight="1">
      <c r="A43" s="21" t="n"/>
      <c r="B43" s="8" t="inlineStr">
        <is>
          <t>ポスト</t>
        </is>
      </c>
      <c r="C43" s="9" t="inlineStr">
        <is>
          <t>Thorlabs</t>
        </is>
      </c>
      <c r="D43" s="9" t="inlineStr">
        <is>
          <t>TR75/M</t>
        </is>
      </c>
      <c r="E43" s="10" t="n">
        <v>4</v>
      </c>
      <c r="F43" s="4" t="n"/>
      <c r="G43" s="8" t="n"/>
      <c r="H43" s="33" t="n"/>
      <c r="I43" s="8" t="n"/>
      <c r="J43" s="8" t="n"/>
      <c r="K43" s="40" t="n"/>
      <c r="L43" s="40" t="n"/>
    </row>
    <row r="44" ht="21.95" customHeight="1">
      <c r="A44" s="21" t="n"/>
      <c r="B44" s="8" t="inlineStr">
        <is>
          <t>ポスト</t>
        </is>
      </c>
      <c r="C44" s="9" t="inlineStr">
        <is>
          <t>Thorlabs</t>
        </is>
      </c>
      <c r="D44" s="9" t="inlineStr">
        <is>
          <t>TR100/M</t>
        </is>
      </c>
      <c r="E44" s="10" t="n">
        <v>8</v>
      </c>
      <c r="F44" s="4" t="n"/>
      <c r="G44" s="8" t="n"/>
      <c r="H44" s="33" t="n"/>
      <c r="I44" s="8" t="n"/>
      <c r="J44" s="8" t="n"/>
      <c r="K44" s="40" t="n"/>
      <c r="L44" s="40" t="n"/>
    </row>
    <row r="45" ht="21.95" customHeight="1">
      <c r="A45" s="21" t="n"/>
      <c r="B45" s="8" t="inlineStr">
        <is>
          <t>ミラーマウント</t>
        </is>
      </c>
      <c r="C45" s="9" t="inlineStr">
        <is>
          <t>Thorlabs</t>
        </is>
      </c>
      <c r="D45" s="9" t="inlineStr">
        <is>
          <t>KM100</t>
        </is>
      </c>
      <c r="E45" s="10" t="n">
        <v>4</v>
      </c>
      <c r="F45" s="4" t="n"/>
      <c r="G45" s="8" t="n"/>
      <c r="H45" s="33" t="n"/>
      <c r="I45" s="8" t="n"/>
      <c r="J45" s="8" t="n"/>
      <c r="K45" s="40" t="n"/>
      <c r="L45" s="40" t="n"/>
    </row>
    <row r="46" ht="21.95" customHeight="1">
      <c r="A46" s="21" t="n"/>
      <c r="B46" s="8" t="inlineStr">
        <is>
          <t>ミラーマウント</t>
        </is>
      </c>
      <c r="C46" s="9" t="inlineStr">
        <is>
          <t>Thorlabs</t>
        </is>
      </c>
      <c r="D46" s="9" t="inlineStr">
        <is>
          <t>LMR1/M</t>
        </is>
      </c>
      <c r="E46" s="10" t="n">
        <v>2</v>
      </c>
      <c r="F46" s="4" t="n"/>
      <c r="G46" s="8" t="n"/>
      <c r="H46" s="33" t="n"/>
      <c r="I46" s="8" t="n"/>
      <c r="J46" s="8" t="n"/>
      <c r="K46" s="40" t="n"/>
      <c r="L46" s="40" t="n"/>
    </row>
    <row r="47" ht="21.95" customHeight="1">
      <c r="A47" s="21" t="n"/>
      <c r="B47" s="8" t="inlineStr">
        <is>
          <t>ケージプレート</t>
        </is>
      </c>
      <c r="C47" s="9" t="inlineStr">
        <is>
          <t>Thorlabs</t>
        </is>
      </c>
      <c r="D47" s="9" t="inlineStr">
        <is>
          <t>CP33/M</t>
        </is>
      </c>
      <c r="E47" s="10" t="n">
        <v>1</v>
      </c>
      <c r="F47" s="4" t="n"/>
      <c r="G47" s="8" t="n"/>
      <c r="H47" s="33" t="n"/>
      <c r="I47" s="8" t="n"/>
      <c r="J47" s="8" t="n"/>
      <c r="K47" s="40" t="n"/>
      <c r="L47" s="40" t="n"/>
    </row>
    <row r="48" ht="21.95" customHeight="1">
      <c r="A48" s="21" t="n"/>
      <c r="B48" s="8" t="inlineStr">
        <is>
          <t>ケージキューブ</t>
        </is>
      </c>
      <c r="C48" s="9" t="inlineStr">
        <is>
          <t>Thorlabs</t>
        </is>
      </c>
      <c r="D48" s="9" t="inlineStr">
        <is>
          <t>CM1-DCH/M</t>
        </is>
      </c>
      <c r="E48" s="10" t="n">
        <v>2</v>
      </c>
      <c r="F48" s="4" t="n"/>
      <c r="G48" s="8" t="n"/>
      <c r="H48" s="33" t="n"/>
      <c r="I48" s="8" t="n"/>
      <c r="J48" s="8" t="n"/>
      <c r="K48" s="40" t="n"/>
      <c r="L48" s="40" t="n"/>
    </row>
    <row r="49" ht="21.95" customHeight="1">
      <c r="A49" s="21" t="n"/>
      <c r="B49" s="8" t="inlineStr">
        <is>
          <t>ケージアセンブリロッド</t>
        </is>
      </c>
      <c r="C49" s="9" t="inlineStr">
        <is>
          <t>Thorlabs</t>
        </is>
      </c>
      <c r="D49" s="9" t="inlineStr">
        <is>
          <t>ER3</t>
        </is>
      </c>
      <c r="E49" s="10" t="n">
        <v>10</v>
      </c>
      <c r="F49" s="4" t="n"/>
      <c r="G49" s="8" t="n"/>
      <c r="H49" s="33" t="n"/>
      <c r="I49" s="8" t="n"/>
      <c r="J49" s="8" t="n"/>
      <c r="K49" s="40" t="n"/>
      <c r="L49" s="40" t="n"/>
    </row>
    <row r="50" ht="21.95" customHeight="1">
      <c r="A50" s="21" t="n"/>
      <c r="B50" s="8" t="inlineStr">
        <is>
          <t>アイリス</t>
        </is>
      </c>
      <c r="C50" s="9" t="inlineStr">
        <is>
          <t>Thorlabs</t>
        </is>
      </c>
      <c r="D50" s="9" t="n"/>
      <c r="E50" s="10" t="n">
        <v>4</v>
      </c>
      <c r="F50" s="4" t="n"/>
      <c r="G50" s="8" t="n"/>
      <c r="H50" s="33" t="n"/>
      <c r="I50" s="8" t="n"/>
      <c r="J50" s="8" t="n"/>
      <c r="K50" s="40" t="n"/>
      <c r="L50" s="40" t="n"/>
    </row>
    <row r="51" ht="21.95" customHeight="1">
      <c r="A51" s="21" t="n"/>
      <c r="B51" s="8" t="inlineStr">
        <is>
          <t>チューブ</t>
        </is>
      </c>
      <c r="C51" s="9" t="n"/>
      <c r="D51" s="9" t="n"/>
      <c r="E51" s="10" t="n">
        <v>1</v>
      </c>
      <c r="F51" s="35" t="n"/>
      <c r="G51" s="36" t="n"/>
      <c r="H51" s="36" t="n"/>
      <c r="I51" s="27" t="n"/>
      <c r="J51" s="27" t="inlineStr">
        <is>
          <t>cMOSとレンズマウントの接続用</t>
        </is>
      </c>
      <c r="K51" s="40" t="n"/>
      <c r="L51" s="40" t="n"/>
    </row>
    <row r="52" ht="21.95" customHeight="1">
      <c r="A52" s="21" t="n"/>
      <c r="B52" s="8" t="inlineStr">
        <is>
          <t>チューブ</t>
        </is>
      </c>
      <c r="C52" s="9" t="n"/>
      <c r="D52" s="9" t="n"/>
      <c r="E52" s="10" t="n">
        <v>1</v>
      </c>
      <c r="F52" s="37" t="n"/>
      <c r="G52" s="38" t="n"/>
      <c r="H52" s="38" t="n"/>
      <c r="I52" s="27" t="n"/>
      <c r="J52" s="27" t="inlineStr">
        <is>
          <t>LEDコリメータとケージの接続用</t>
        </is>
      </c>
      <c r="K52" s="40" t="n"/>
      <c r="L52" s="40" t="n"/>
    </row>
    <row r="53" ht="21.95" customHeight="1">
      <c r="A53" s="21" t="n"/>
      <c r="B53" s="8" t="inlineStr">
        <is>
          <t>ゴーグル</t>
        </is>
      </c>
      <c r="C53" s="9" t="n"/>
      <c r="D53" s="9" t="n"/>
      <c r="E53" s="10" t="n"/>
      <c r="F53" s="8" t="n"/>
      <c r="G53" s="8" t="n"/>
      <c r="H53" s="31" t="n"/>
      <c r="I53" s="8" t="n"/>
      <c r="J53" s="8" t="n"/>
      <c r="K53" s="40" t="n"/>
      <c r="L53" s="40" t="n"/>
    </row>
    <row r="54" ht="21.95" customHeight="1">
      <c r="A54" s="21" t="n"/>
      <c r="B54" s="8" t="inlineStr">
        <is>
          <t>六角レンチ（各サイズ）</t>
        </is>
      </c>
      <c r="C54" s="9" t="n"/>
      <c r="D54" s="9" t="n"/>
      <c r="E54" s="10" t="n"/>
      <c r="F54" s="27" t="n"/>
      <c r="G54" s="27" t="n"/>
      <c r="H54" s="31" t="n"/>
      <c r="I54" s="27" t="n"/>
      <c r="J54" s="27" t="n"/>
      <c r="K54" s="40" t="n"/>
      <c r="L54" s="40" t="n"/>
    </row>
    <row r="55" ht="21.95" customHeight="1">
      <c r="A55" s="22" t="n"/>
      <c r="B55" s="4" t="inlineStr">
        <is>
          <t>柱</t>
        </is>
      </c>
      <c r="C55" s="5" t="n"/>
      <c r="D55" s="5" t="n"/>
      <c r="E55" s="6" t="n"/>
      <c r="H55" s="31" t="n"/>
      <c r="K55" s="39" t="n"/>
      <c r="L55" s="39">
        <f>IF(OR(E55="",K55=""),"-",E55*K55)</f>
        <v/>
      </c>
    </row>
    <row r="56" ht="21.95" customHeight="1">
      <c r="A56" s="22" t="n"/>
      <c r="B56" s="4" t="inlineStr">
        <is>
          <t>黒い板</t>
        </is>
      </c>
      <c r="C56" s="5" t="n"/>
      <c r="D56" s="5" t="n"/>
      <c r="E56" s="6" t="n"/>
      <c r="H56" s="31" t="n"/>
      <c r="K56" s="39" t="n"/>
      <c r="L56" s="39" t="n"/>
    </row>
    <row r="57" ht="21.95" customHeight="1">
      <c r="A57" s="20" t="inlineStr">
        <is>
          <t>検出システム</t>
        </is>
      </c>
      <c r="B57" s="8" t="inlineStr">
        <is>
          <t>CMOSカメラ</t>
        </is>
      </c>
      <c r="C57" s="9" t="inlineStr">
        <is>
          <t>Thorlabs</t>
        </is>
      </c>
      <c r="D57" s="9" t="inlineStr">
        <is>
          <t>CS165MU1/M</t>
        </is>
      </c>
      <c r="E57" s="10" t="n">
        <v>1</v>
      </c>
      <c r="F57" s="28" t="n"/>
      <c r="G57" s="8" t="n"/>
      <c r="H57" s="8" t="n"/>
      <c r="I57" s="34" t="n"/>
      <c r="J57" s="8" t="inlineStr">
        <is>
          <t>広視野（Wide-field）ODMR観察用</t>
        </is>
      </c>
      <c r="K57" s="40" t="n"/>
      <c r="L57" s="40">
        <f>IF(OR(E57="",K57=""),"-",E57*K57)</f>
        <v/>
      </c>
    </row>
    <row r="58" ht="24" customHeight="1">
      <c r="A58" s="23" t="inlineStr">
        <is>
          <t>合計</t>
        </is>
      </c>
      <c r="B58" s="12" t="n"/>
      <c r="C58" s="12" t="n"/>
      <c r="D58" s="12" t="n"/>
      <c r="E58" s="13">
        <f>SUM(E5:E57)</f>
        <v/>
      </c>
      <c r="F58" s="12" t="n"/>
      <c r="G58" s="12" t="n"/>
      <c r="H58" s="12" t="n"/>
      <c r="I58" s="12" t="n"/>
      <c r="J58" s="12" t="n"/>
      <c r="K58" s="12" t="n"/>
      <c r="L58" s="41">
        <f>SUM(L5:L57)</f>
        <v/>
      </c>
    </row>
  </sheetData>
  <autoFilter ref="A4:E57"/>
  <printOptions horizontalCentered="0"/>
  <pageMargins left="0.4" right="0.4" top="0.5" bottom="0.5" header="0.2" footer="0.2"/>
  <pageSetup orientation="landscape" paperSize="8" fitToHeight="0" fitToWidth="1"/>
  <headerFooter>
    <oddHeader/>
    <oddFooter>&amp;C&amp;P / &amp;N ページ&amp;R&amp;D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6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2" customWidth="1" min="3" max="3"/>
    <col width="18" customWidth="1" min="4" max="4"/>
    <col width="5" customWidth="1" min="5" max="5"/>
    <col width="11" customWidth="1" min="6" max="6"/>
    <col width="9" customWidth="1" min="7" max="7"/>
    <col width="9" customWidth="1" min="8" max="8"/>
    <col width="11" customWidth="1" min="9" max="9"/>
    <col width="18" customWidth="1" min="10" max="10"/>
    <col width="20" customWidth="1" min="11" max="11"/>
    <col width="6" customWidth="1" min="12" max="12"/>
    <col width="36" customWidth="1" min="13" max="13"/>
    <col width="22" customWidth="1" min="14" max="14"/>
  </cols>
  <sheetData>
    <row r="1">
      <c r="A1" s="42" t="inlineStr">
        <is>
          <t>DAC-NV 機材 航空輸送分類表（乗継便・第三国経由を前提）</t>
        </is>
      </c>
    </row>
    <row r="2" ht="58" customHeight="1">
      <c r="A2" s="43" t="inlineStr">
        <is>
          <t>【前提】①発送のみ ②機内持込のみ ③両方可 ④両方不可。「機内持込」はキャビン持込を指し、預入手荷物は別列。 【重要】輸出令の項番は公開仕様からの推定であり最終判断ではない。「要確認」＝○ の品目はメーカー発行の該非判定書（パラメータシート）を取得してから申請書を作成すること。「条件付き可」は航空会社・経由国の保安検査官の裁量で結果が変わる項目。</t>
        </is>
      </c>
    </row>
    <row r="4">
      <c r="A4" s="44" t="inlineStr">
        <is>
          <t>システム</t>
        </is>
      </c>
      <c r="B4" s="44" t="inlineStr">
        <is>
          <t>アイテム名</t>
        </is>
      </c>
      <c r="C4" s="44" t="inlineStr">
        <is>
          <t>メーカー</t>
        </is>
      </c>
      <c r="D4" s="44" t="inlineStr">
        <is>
          <t>型番</t>
        </is>
      </c>
      <c r="E4" s="44" t="inlineStr">
        <is>
          <t>個数</t>
        </is>
      </c>
      <c r="F4" s="44" t="inlineStr">
        <is>
          <t>分類</t>
        </is>
      </c>
      <c r="G4" s="44" t="inlineStr">
        <is>
          <t>機内持込</t>
        </is>
      </c>
      <c r="H4" s="44" t="inlineStr">
        <is>
          <t>預入手荷物</t>
        </is>
      </c>
      <c r="I4" s="44" t="inlineStr">
        <is>
          <t>発送(クーリエ)</t>
        </is>
      </c>
      <c r="J4" s="44" t="inlineStr">
        <is>
          <t>危険物区分</t>
        </is>
      </c>
      <c r="K4" s="44" t="inlineStr">
        <is>
          <t>輸出令 想定項番</t>
        </is>
      </c>
      <c r="L4" s="44" t="inlineStr">
        <is>
          <t>要確認</t>
        </is>
      </c>
      <c r="M4" s="44" t="inlineStr">
        <is>
          <t>判断理由・注意点</t>
        </is>
      </c>
      <c r="N4" s="44" t="inlineStr">
        <is>
          <t>推奨</t>
        </is>
      </c>
    </row>
    <row r="5">
      <c r="A5" s="45" t="inlineStr">
        <is>
          <t>DACシステム</t>
        </is>
      </c>
      <c r="B5" s="45" t="inlineStr">
        <is>
          <t>NV注入ダイヤモンドアンビル</t>
        </is>
      </c>
      <c r="C5" s="45" t="inlineStr">
        <is>
          <t>-</t>
        </is>
      </c>
      <c r="D5" s="45" t="inlineStr">
        <is>
          <t>-</t>
        </is>
      </c>
      <c r="E5" s="46" t="n">
        <v>2</v>
      </c>
      <c r="F5" s="47" t="inlineStr">
        <is>
          <t>②機内持込のみ</t>
        </is>
      </c>
      <c r="G5" s="48" t="inlineStr">
        <is>
          <t>可</t>
        </is>
      </c>
      <c r="H5" s="49" t="inlineStr">
        <is>
          <t>条件付き可</t>
        </is>
      </c>
      <c r="I5" s="50" t="inlineStr">
        <is>
          <t>不可</t>
        </is>
      </c>
      <c r="J5" s="45" t="inlineStr">
        <is>
          <t>該当なし</t>
        </is>
      </c>
      <c r="K5" s="45" t="inlineStr">
        <is>
          <t>非該当（推定・工業用ダイヤ）</t>
        </is>
      </c>
      <c r="L5" s="51" t="inlineStr">
        <is>
          <t>○</t>
        </is>
      </c>
      <c r="M5" s="45" t="inlineStr">
        <is>
          <t>太田研からの借用品。NV注入済みで代替品が存在せず、紛失・破損時に弁償不能。規則上は発送可だが実務上は発送不可と扱う。</t>
        </is>
      </c>
      <c r="N5" s="45" t="inlineStr">
        <is>
          <t>手荷物で持参（小型ケースに入れ常時携行）</t>
        </is>
      </c>
    </row>
    <row r="6">
      <c r="A6" s="45" t="inlineStr">
        <is>
          <t>DACシステム</t>
        </is>
      </c>
      <c r="B6" s="45" t="inlineStr">
        <is>
          <t>対向ダイヤモンドアンビル</t>
        </is>
      </c>
      <c r="C6" s="45" t="n"/>
      <c r="D6" s="45" t="n"/>
      <c r="E6" s="46" t="n">
        <v>2</v>
      </c>
      <c r="F6" s="47" t="inlineStr">
        <is>
          <t>②機内持込のみ</t>
        </is>
      </c>
      <c r="G6" s="48" t="inlineStr">
        <is>
          <t>可</t>
        </is>
      </c>
      <c r="H6" s="49" t="inlineStr">
        <is>
          <t>条件付き可</t>
        </is>
      </c>
      <c r="I6" s="50" t="inlineStr">
        <is>
          <t>不可</t>
        </is>
      </c>
      <c r="J6" s="45" t="inlineStr">
        <is>
          <t>該当なし</t>
        </is>
      </c>
      <c r="K6" s="45" t="inlineStr">
        <is>
          <t>非該当（推定・工業用ダイヤ）</t>
        </is>
      </c>
      <c r="L6" s="46" t="inlineStr"/>
      <c r="M6" s="45" t="inlineStr">
        <is>
          <t>太田研・荒井研からの借用品。上記と同じ理由で発送に載せない。</t>
        </is>
      </c>
      <c r="N6" s="45" t="inlineStr">
        <is>
          <t>手荷物で持参</t>
        </is>
      </c>
    </row>
    <row r="7">
      <c r="A7" s="45" t="inlineStr">
        <is>
          <t>DACシステム</t>
        </is>
      </c>
      <c r="B7" s="45" t="inlineStr">
        <is>
          <t>ベリリウム銅DAC</t>
        </is>
      </c>
      <c r="C7" s="45" t="inlineStr">
        <is>
          <t>-</t>
        </is>
      </c>
      <c r="D7" s="45" t="inlineStr">
        <is>
          <t>-</t>
        </is>
      </c>
      <c r="E7" s="46" t="n">
        <v>2</v>
      </c>
      <c r="F7" s="47" t="inlineStr">
        <is>
          <t>②機内持込のみ</t>
        </is>
      </c>
      <c r="G7" s="48" t="inlineStr">
        <is>
          <t>可</t>
        </is>
      </c>
      <c r="H7" s="49" t="inlineStr">
        <is>
          <t>条件付き可</t>
        </is>
      </c>
      <c r="I7" s="50" t="inlineStr">
        <is>
          <t>不可</t>
        </is>
      </c>
      <c r="J7" s="45" t="inlineStr">
        <is>
          <t>該当なし</t>
        </is>
      </c>
      <c r="K7" s="45" t="inlineStr">
        <is>
          <t>第2項（先端材料）該当の可能性</t>
        </is>
      </c>
      <c r="L7" s="51" t="inlineStr">
        <is>
          <t>○</t>
        </is>
      </c>
      <c r="M7" s="45" t="inlineStr">
        <is>
          <t>荒井研・太田研からの借用品で代替不可のため発送しない。加えてベリリウム銅は含有率次第で別表第1第2項の規制対象になり得る。</t>
        </is>
      </c>
      <c r="N7" s="45" t="inlineStr">
        <is>
          <t>手荷物で持参＋材質証明（Be含有率）を入手して該非判定に添付</t>
        </is>
      </c>
    </row>
    <row r="8">
      <c r="A8" s="45" t="inlineStr">
        <is>
          <t>DACシステム</t>
        </is>
      </c>
      <c r="B8" s="45" t="inlineStr">
        <is>
          <t>ジルコニア台座</t>
        </is>
      </c>
      <c r="C8" s="45" t="n"/>
      <c r="D8" s="45" t="n"/>
      <c r="E8" s="46" t="n">
        <v>2</v>
      </c>
      <c r="F8" s="52" t="inlineStr">
        <is>
          <t>③両方可</t>
        </is>
      </c>
      <c r="G8" s="48" t="inlineStr">
        <is>
          <t>可</t>
        </is>
      </c>
      <c r="H8" s="48" t="inlineStr">
        <is>
          <t>可</t>
        </is>
      </c>
      <c r="I8" s="48" t="inlineStr">
        <is>
          <t>可</t>
        </is>
      </c>
      <c r="J8" s="45" t="inlineStr">
        <is>
          <t>該当なし</t>
        </is>
      </c>
      <c r="K8" s="45" t="inlineStr">
        <is>
          <t>非該当（推定）</t>
        </is>
      </c>
      <c r="L8" s="46" t="inlineStr"/>
      <c r="M8" s="45" t="inlineStr">
        <is>
          <t>セラミック製の小物。輸送上の制約なし。</t>
        </is>
      </c>
      <c r="N8" s="45" t="inlineStr">
        <is>
          <t>ダイヤと一緒に持参</t>
        </is>
      </c>
    </row>
    <row r="9">
      <c r="A9" s="45" t="inlineStr">
        <is>
          <t>DACシステム</t>
        </is>
      </c>
      <c r="B9" s="45" t="inlineStr">
        <is>
          <t>ガスケット</t>
        </is>
      </c>
      <c r="C9" s="45" t="n"/>
      <c r="D9" s="45" t="n"/>
      <c r="E9" s="46" t="inlineStr">
        <is>
          <t>2，3</t>
        </is>
      </c>
      <c r="F9" s="52" t="inlineStr">
        <is>
          <t>③両方可</t>
        </is>
      </c>
      <c r="G9" s="48" t="inlineStr">
        <is>
          <t>可</t>
        </is>
      </c>
      <c r="H9" s="48" t="inlineStr">
        <is>
          <t>可</t>
        </is>
      </c>
      <c r="I9" s="48" t="inlineStr">
        <is>
          <t>可</t>
        </is>
      </c>
      <c r="J9" s="45" t="inlineStr">
        <is>
          <t>該当なし</t>
        </is>
      </c>
      <c r="K9" s="45" t="inlineStr">
        <is>
          <t>非該当（推定）</t>
        </is>
      </c>
      <c r="L9" s="46" t="inlineStr"/>
      <c r="M9" s="45" t="inlineStr">
        <is>
          <t>金属薄板の小物。輸送上の制約なし。</t>
        </is>
      </c>
      <c r="N9" s="45" t="inlineStr">
        <is>
          <t>持参（予備を多めに）</t>
        </is>
      </c>
    </row>
    <row r="10">
      <c r="A10" s="45" t="inlineStr">
        <is>
          <t>DACシステム</t>
        </is>
      </c>
      <c r="B10" s="45" t="inlineStr">
        <is>
          <t>アラルダイト</t>
        </is>
      </c>
      <c r="C10" s="45" t="n"/>
      <c r="D10" s="45" t="n"/>
      <c r="E10" s="46" t="n">
        <v>1</v>
      </c>
      <c r="F10" s="53" t="inlineStr">
        <is>
          <t>④両方不可</t>
        </is>
      </c>
      <c r="G10" s="50" t="inlineStr">
        <is>
          <t>不可</t>
        </is>
      </c>
      <c r="H10" s="50" t="inlineStr">
        <is>
          <t>不可</t>
        </is>
      </c>
      <c r="I10" s="49" t="inlineStr">
        <is>
          <t>条件付き可</t>
        </is>
      </c>
      <c r="J10" s="45" t="inlineStr">
        <is>
          <t>引火性液体／腐食性の可能性（主剤・硬化剤）</t>
        </is>
      </c>
      <c r="K10" s="45" t="inlineStr">
        <is>
          <t>非該当（推定）</t>
        </is>
      </c>
      <c r="L10" s="51" t="inlineStr">
        <is>
          <t>○</t>
        </is>
      </c>
      <c r="M10" s="45" t="inlineStr">
        <is>
          <t>エポキシ接着剤は硬化剤側がUN分類に該当し得る。旅客機の手荷物・預入とも実質不可、クーリエも危険物申告が必要で費用対効果が悪い。</t>
        </is>
      </c>
      <c r="N10" s="45" t="inlineStr">
        <is>
          <t>現地調達（ドイツで同等品を購入）</t>
        </is>
      </c>
    </row>
    <row r="11">
      <c r="A11" s="45" t="inlineStr">
        <is>
          <t>マイクロ波システム</t>
        </is>
      </c>
      <c r="B11" s="45" t="inlineStr">
        <is>
          <t>白金箔</t>
        </is>
      </c>
      <c r="C11" s="45" t="n"/>
      <c r="D11" s="45" t="inlineStr">
        <is>
          <t>-</t>
        </is>
      </c>
      <c r="E11" s="46" t="n">
        <v>1</v>
      </c>
      <c r="F11" s="52" t="inlineStr">
        <is>
          <t>③両方可</t>
        </is>
      </c>
      <c r="G11" s="48" t="inlineStr">
        <is>
          <t>可</t>
        </is>
      </c>
      <c r="H11" s="48" t="inlineStr">
        <is>
          <t>可</t>
        </is>
      </c>
      <c r="I11" s="48" t="inlineStr">
        <is>
          <t>可</t>
        </is>
      </c>
      <c r="J11" s="45" t="inlineStr">
        <is>
          <t>該当なし</t>
        </is>
      </c>
      <c r="K11" s="45" t="inlineStr">
        <is>
          <t>非該当（推定）</t>
        </is>
      </c>
      <c r="L11" s="46" t="inlineStr"/>
      <c r="M11" s="45" t="inlineStr">
        <is>
          <t>貴金属だが少量の箔。輸送上の制約なし。</t>
        </is>
      </c>
      <c r="N11" s="45" t="inlineStr">
        <is>
          <t>持参（少量・高価のため）</t>
        </is>
      </c>
    </row>
    <row r="12">
      <c r="A12" s="45" t="inlineStr">
        <is>
          <t>マイクロ波システム</t>
        </is>
      </c>
      <c r="B12" s="45" t="inlineStr">
        <is>
          <t>エナメル線</t>
        </is>
      </c>
      <c r="C12" s="45" t="inlineStr">
        <is>
          <t>-</t>
        </is>
      </c>
      <c r="D12" s="45" t="inlineStr">
        <is>
          <t>-</t>
        </is>
      </c>
      <c r="E12" s="46" t="n">
        <v>1</v>
      </c>
      <c r="F12" s="52" t="inlineStr">
        <is>
          <t>③両方可</t>
        </is>
      </c>
      <c r="G12" s="48" t="inlineStr">
        <is>
          <t>可</t>
        </is>
      </c>
      <c r="H12" s="48" t="inlineStr">
        <is>
          <t>可</t>
        </is>
      </c>
      <c r="I12" s="48" t="inlineStr">
        <is>
          <t>可</t>
        </is>
      </c>
      <c r="J12" s="45" t="inlineStr">
        <is>
          <t>該当なし</t>
        </is>
      </c>
      <c r="K12" s="45" t="inlineStr">
        <is>
          <t>非該当（推定）</t>
        </is>
      </c>
      <c r="L12" s="46" t="inlineStr"/>
      <c r="M12" s="45" t="inlineStr">
        <is>
          <t>制約なし。</t>
        </is>
      </c>
      <c r="N12" s="45" t="inlineStr">
        <is>
          <t>発送</t>
        </is>
      </c>
    </row>
    <row r="13">
      <c r="A13" s="45" t="inlineStr">
        <is>
          <t>マイクロ波システム</t>
        </is>
      </c>
      <c r="B13" s="45" t="inlineStr">
        <is>
          <t>SMA同軸ケーブル（長さ609mm）</t>
        </is>
      </c>
      <c r="C13" s="45" t="inlineStr">
        <is>
          <t>Thorlabs</t>
        </is>
      </c>
      <c r="D13" s="45" t="inlineStr">
        <is>
          <t>CA2924</t>
        </is>
      </c>
      <c r="E13" s="46" t="n">
        <v>2</v>
      </c>
      <c r="F13" s="52" t="inlineStr">
        <is>
          <t>③両方可</t>
        </is>
      </c>
      <c r="G13" s="48" t="inlineStr">
        <is>
          <t>可</t>
        </is>
      </c>
      <c r="H13" s="48" t="inlineStr">
        <is>
          <t>可</t>
        </is>
      </c>
      <c r="I13" s="48" t="inlineStr">
        <is>
          <t>可</t>
        </is>
      </c>
      <c r="J13" s="45" t="inlineStr">
        <is>
          <t>該当なし</t>
        </is>
      </c>
      <c r="K13" s="45" t="inlineStr">
        <is>
          <t>非該当（推定）</t>
        </is>
      </c>
      <c r="L13" s="46" t="inlineStr"/>
      <c r="M13" s="45" t="inlineStr">
        <is>
          <t>同軸ケーブル。制約なし。</t>
        </is>
      </c>
      <c r="N13" s="45" t="inlineStr">
        <is>
          <t>発送</t>
        </is>
      </c>
    </row>
    <row r="14">
      <c r="A14" s="45" t="inlineStr">
        <is>
          <t>マイクロ波システム</t>
        </is>
      </c>
      <c r="B14" s="45" t="inlineStr">
        <is>
          <t>SMA同軸ケーブル（長さ1219mm）</t>
        </is>
      </c>
      <c r="C14" s="45" t="inlineStr">
        <is>
          <t>Thorlabs</t>
        </is>
      </c>
      <c r="D14" s="45" t="inlineStr">
        <is>
          <t>CA1219</t>
        </is>
      </c>
      <c r="E14" s="46" t="n">
        <v>2</v>
      </c>
      <c r="F14" s="52" t="inlineStr">
        <is>
          <t>③両方可</t>
        </is>
      </c>
      <c r="G14" s="48" t="inlineStr">
        <is>
          <t>可</t>
        </is>
      </c>
      <c r="H14" s="48" t="inlineStr">
        <is>
          <t>可</t>
        </is>
      </c>
      <c r="I14" s="48" t="inlineStr">
        <is>
          <t>可</t>
        </is>
      </c>
      <c r="J14" s="45" t="inlineStr">
        <is>
          <t>該当なし</t>
        </is>
      </c>
      <c r="K14" s="45" t="inlineStr">
        <is>
          <t>非該当（推定）</t>
        </is>
      </c>
      <c r="L14" s="46" t="inlineStr"/>
      <c r="M14" s="45" t="inlineStr">
        <is>
          <t>同軸ケーブル。制約なし。</t>
        </is>
      </c>
      <c r="N14" s="45" t="inlineStr">
        <is>
          <t>発送</t>
        </is>
      </c>
    </row>
    <row r="15">
      <c r="A15" s="45" t="inlineStr">
        <is>
          <t>マイクロ波システム</t>
        </is>
      </c>
      <c r="B15" s="45" t="inlineStr">
        <is>
          <t>マイクロ波アンプ</t>
        </is>
      </c>
      <c r="C15" s="45" t="inlineStr">
        <is>
          <t>Mini-Circuits</t>
        </is>
      </c>
      <c r="D15" s="45" t="inlineStr">
        <is>
          <t>139-ZHL-16W-43-S</t>
        </is>
      </c>
      <c r="E15" s="46" t="n">
        <v>1</v>
      </c>
      <c r="F15" s="52" t="inlineStr">
        <is>
          <t>③両方可</t>
        </is>
      </c>
      <c r="G15" s="49" t="inlineStr">
        <is>
          <t>条件付き可</t>
        </is>
      </c>
      <c r="H15" s="48" t="inlineStr">
        <is>
          <t>可</t>
        </is>
      </c>
      <c r="I15" s="48" t="inlineStr">
        <is>
          <t>可</t>
        </is>
      </c>
      <c r="J15" s="45" t="inlineStr">
        <is>
          <t>該当なし</t>
        </is>
      </c>
      <c r="K15" s="45" t="inlineStr">
        <is>
          <t>第9項（貨物等省令第8条）該当可能性あり</t>
        </is>
      </c>
      <c r="L15" s="51" t="inlineStr">
        <is>
          <t>○</t>
        </is>
      </c>
      <c r="M15" s="45" t="inlineStr">
        <is>
          <t>電池・ガスを含まず危険物非該当のため規則上は持込可。金属塊でX線に強く写るため開披検査を受ける前提。動作帯域・出力から第9項該当を否定しきれず、Mini-Circuits の該非判定書／ECCN の入手が必須。</t>
        </is>
      </c>
      <c r="N15" s="45" t="inlineStr">
        <is>
          <t>機内持込を推奨（英文仕様書を携行）</t>
        </is>
      </c>
    </row>
    <row r="16">
      <c r="A16" s="45" t="inlineStr">
        <is>
          <t>マイクロ波システム</t>
        </is>
      </c>
      <c r="B16" s="45" t="inlineStr">
        <is>
          <t>信号発生器 (Signal Generator)</t>
        </is>
      </c>
      <c r="C16" s="45" t="inlineStr">
        <is>
          <t>Windfreak</t>
        </is>
      </c>
      <c r="D16" s="45" t="inlineStr">
        <is>
          <t>SynthHD</t>
        </is>
      </c>
      <c r="E16" s="46" t="n">
        <v>1</v>
      </c>
      <c r="F16" s="52" t="inlineStr">
        <is>
          <t>③両方可</t>
        </is>
      </c>
      <c r="G16" s="49" t="inlineStr">
        <is>
          <t>条件付き可</t>
        </is>
      </c>
      <c r="H16" s="48" t="inlineStr">
        <is>
          <t>可</t>
        </is>
      </c>
      <c r="I16" s="48" t="inlineStr">
        <is>
          <t>可</t>
        </is>
      </c>
      <c r="J16" s="45" t="inlineStr">
        <is>
          <t>該当なし</t>
        </is>
      </c>
      <c r="K16" s="45" t="inlineStr">
        <is>
          <t>第9項該当の可能性（最優先で要確認）</t>
        </is>
      </c>
      <c r="L16" s="51" t="inlineStr">
        <is>
          <t>○</t>
        </is>
      </c>
      <c r="M16" s="45" t="inlineStr">
        <is>
          <t>広帯域シンセサイザ。本リスト中で最も規制該当リスクが高い。輸送自体は制約なし。</t>
        </is>
      </c>
      <c r="N16" s="45" t="inlineStr">
        <is>
          <t>機内持込。該非判定書を最優先で取得し、該当なら輸出許可申請が必要</t>
        </is>
      </c>
    </row>
    <row r="17">
      <c r="A17" s="45" t="inlineStr">
        <is>
          <t>マイクロ波システム</t>
        </is>
      </c>
      <c r="B17" s="45" t="inlineStr">
        <is>
          <t>アンプ用DC電源</t>
        </is>
      </c>
      <c r="C17" s="45" t="inlineStr">
        <is>
          <t xml:space="preserve">Kikusui </t>
        </is>
      </c>
      <c r="D17" s="45" t="inlineStr">
        <is>
          <t>PWR401L</t>
        </is>
      </c>
      <c r="E17" s="46" t="n">
        <v>1</v>
      </c>
      <c r="F17" s="54" t="inlineStr">
        <is>
          <t>①発送のみ</t>
        </is>
      </c>
      <c r="G17" s="50" t="inlineStr">
        <is>
          <t>不可</t>
        </is>
      </c>
      <c r="H17" s="49" t="inlineStr">
        <is>
          <t>条件付き可</t>
        </is>
      </c>
      <c r="I17" s="48" t="inlineStr">
        <is>
          <t>可</t>
        </is>
      </c>
      <c r="J17" s="45" t="inlineStr">
        <is>
          <t>該当なし</t>
        </is>
      </c>
      <c r="K17" s="45" t="inlineStr">
        <is>
          <t>非該当（推定）</t>
        </is>
      </c>
      <c r="L17" s="46" t="inlineStr"/>
      <c r="M17" s="45" t="inlineStr">
        <is>
          <t>重量・容積が大きく手荷物に収まらない。100V機のためドイツでは変圧器または現地電源の手当てが要る。</t>
        </is>
      </c>
      <c r="N17" s="45" t="inlineStr">
        <is>
          <t>発送（または現地で230V対応電源を調達する方が安い可能性あり）</t>
        </is>
      </c>
    </row>
    <row r="18">
      <c r="A18" s="45" t="inlineStr">
        <is>
          <t>マイクロ波システム</t>
        </is>
      </c>
      <c r="B18" s="45" t="inlineStr">
        <is>
          <t>導波管サーキュレータ</t>
        </is>
      </c>
      <c r="C18" s="45" t="inlineStr">
        <is>
          <t>Pasternack</t>
        </is>
      </c>
      <c r="D18" s="45" t="inlineStr">
        <is>
          <t>PE8401</t>
        </is>
      </c>
      <c r="E18" s="46" t="n">
        <v>1</v>
      </c>
      <c r="F18" s="52" t="inlineStr">
        <is>
          <t>③両方可</t>
        </is>
      </c>
      <c r="G18" s="48" t="inlineStr">
        <is>
          <t>可</t>
        </is>
      </c>
      <c r="H18" s="48" t="inlineStr">
        <is>
          <t>可</t>
        </is>
      </c>
      <c r="I18" s="48" t="inlineStr">
        <is>
          <t>可</t>
        </is>
      </c>
      <c r="J18" s="45" t="inlineStr">
        <is>
          <t>該当なし</t>
        </is>
      </c>
      <c r="K18" s="45" t="inlineStr">
        <is>
          <t>非該当（推定）</t>
        </is>
      </c>
      <c r="L18" s="46" t="inlineStr"/>
      <c r="M18" s="45" t="inlineStr">
        <is>
          <t>受動部品。制約なし。</t>
        </is>
      </c>
      <c r="N18" s="45" t="inlineStr">
        <is>
          <t>発送</t>
        </is>
      </c>
    </row>
    <row r="19">
      <c r="A19" s="45" t="inlineStr">
        <is>
          <t>マイクロ波システム</t>
        </is>
      </c>
      <c r="B19" s="45" t="inlineStr">
        <is>
          <t>導波管ターミネータ</t>
        </is>
      </c>
      <c r="C19" s="45" t="inlineStr">
        <is>
          <t>Mini-Circuits</t>
        </is>
      </c>
      <c r="D19" s="45" t="inlineStr">
        <is>
          <t>ANNE-50+</t>
        </is>
      </c>
      <c r="E19" s="46" t="n">
        <v>1</v>
      </c>
      <c r="F19" s="52" t="inlineStr">
        <is>
          <t>③両方可</t>
        </is>
      </c>
      <c r="G19" s="48" t="inlineStr">
        <is>
          <t>可</t>
        </is>
      </c>
      <c r="H19" s="48" t="inlineStr">
        <is>
          <t>可</t>
        </is>
      </c>
      <c r="I19" s="48" t="inlineStr">
        <is>
          <t>可</t>
        </is>
      </c>
      <c r="J19" s="45" t="inlineStr">
        <is>
          <t>該当なし</t>
        </is>
      </c>
      <c r="K19" s="45" t="inlineStr">
        <is>
          <t>非該当（推定）</t>
        </is>
      </c>
      <c r="L19" s="46" t="inlineStr"/>
      <c r="M19" s="45" t="inlineStr">
        <is>
          <t>受動部品。制約なし。</t>
        </is>
      </c>
      <c r="N19" s="45" t="inlineStr">
        <is>
          <t>発送</t>
        </is>
      </c>
    </row>
    <row r="20">
      <c r="A20" s="45" t="inlineStr">
        <is>
          <t>マイクロ波システム</t>
        </is>
      </c>
      <c r="B20" s="45" t="inlineStr">
        <is>
          <t>はんだごて</t>
        </is>
      </c>
      <c r="C20" s="45" t="n"/>
      <c r="D20" s="45" t="n"/>
      <c r="E20" s="46" t="n">
        <v>1</v>
      </c>
      <c r="F20" s="54" t="inlineStr">
        <is>
          <t>①発送のみ</t>
        </is>
      </c>
      <c r="G20" s="50" t="inlineStr">
        <is>
          <t>不可</t>
        </is>
      </c>
      <c r="H20" s="48" t="inlineStr">
        <is>
          <t>可</t>
        </is>
      </c>
      <c r="I20" s="48" t="inlineStr">
        <is>
          <t>可</t>
        </is>
      </c>
      <c r="J20" s="45" t="inlineStr">
        <is>
          <t>該当なし</t>
        </is>
      </c>
      <c r="K20" s="45" t="inlineStr">
        <is>
          <t>非該当（推定）</t>
        </is>
      </c>
      <c r="L20" s="46" t="inlineStr"/>
      <c r="M20" s="45" t="inlineStr">
        <is>
          <t>先端が鋭利な工具のためキャビン持込不可。預入または発送なら可。100V機の電圧に注意。</t>
        </is>
      </c>
      <c r="N20" s="45" t="inlineStr">
        <is>
          <t>発送（または現地調達。230V対応品の方が確実）</t>
        </is>
      </c>
    </row>
    <row r="21">
      <c r="A21" s="45" t="inlineStr">
        <is>
          <t>マイクロ波システム</t>
        </is>
      </c>
      <c r="B21" s="45" t="inlineStr">
        <is>
          <t>テープ</t>
        </is>
      </c>
      <c r="C21" s="45" t="n"/>
      <c r="D21" s="45" t="n"/>
      <c r="E21" s="46" t="n"/>
      <c r="F21" s="52" t="inlineStr">
        <is>
          <t>③両方可</t>
        </is>
      </c>
      <c r="G21" s="48" t="inlineStr">
        <is>
          <t>可</t>
        </is>
      </c>
      <c r="H21" s="48" t="inlineStr">
        <is>
          <t>可</t>
        </is>
      </c>
      <c r="I21" s="48" t="inlineStr">
        <is>
          <t>可</t>
        </is>
      </c>
      <c r="J21" s="45" t="inlineStr">
        <is>
          <t>該当なし</t>
        </is>
      </c>
      <c r="K21" s="45" t="inlineStr">
        <is>
          <t>非該当（推定）</t>
        </is>
      </c>
      <c r="L21" s="46" t="inlineStr"/>
      <c r="M21" s="45" t="inlineStr">
        <is>
          <t>制約なし。</t>
        </is>
      </c>
      <c r="N21" s="45" t="inlineStr">
        <is>
          <t>発送</t>
        </is>
      </c>
    </row>
    <row r="22">
      <c r="A22" s="45" t="inlineStr">
        <is>
          <t>光学システム</t>
        </is>
      </c>
      <c r="B22" s="45" t="inlineStr">
        <is>
          <t>レーザー</t>
        </is>
      </c>
      <c r="C22" s="45" t="inlineStr">
        <is>
          <t>CNI</t>
        </is>
      </c>
      <c r="D22" s="45" t="inlineStr">
        <is>
          <t>MLL-S-532B-300mW</t>
        </is>
      </c>
      <c r="E22" s="46" t="n">
        <v>1</v>
      </c>
      <c r="F22" s="52" t="inlineStr">
        <is>
          <t>③両方可</t>
        </is>
      </c>
      <c r="G22" s="49" t="inlineStr">
        <is>
          <t>条件付き可</t>
        </is>
      </c>
      <c r="H22" s="49" t="inlineStr">
        <is>
          <t>条件付き可</t>
        </is>
      </c>
      <c r="I22" s="48" t="inlineStr">
        <is>
          <t>可</t>
        </is>
      </c>
      <c r="J22" s="45" t="inlineStr">
        <is>
          <t>該当なし</t>
        </is>
      </c>
      <c r="K22" s="45" t="inlineStr">
        <is>
          <t>第6項（貨物等省令第6条）／非該当の公算</t>
        </is>
      </c>
      <c r="L22" s="51" t="inlineStr">
        <is>
          <t>○</t>
        </is>
      </c>
      <c r="M22" s="45" t="inlineStr">
        <is>
          <t>DPSSレーザーで電池・ガスを含まずIATA上は危険物非該当、規則上は持込可能。障壁は保安検査官の裁量（レーザーポインタとの混同）と経由国・ドイツの高出力レーザー規制。CW 532nm/300mW は第6項の出力しきい値を下回り非該当の公算が大きいが、CNI発行の該非判定書が必須。（元表の備考は発注時点のもので、現物は入手済み。購入時の純正梱包材が保管されているか確認すること）</t>
        </is>
      </c>
      <c r="N22" s="45" t="inlineStr">
        <is>
          <t>機内持込を強く推奨（下記「重要品目メモ」の準備物を揃えること）</t>
        </is>
      </c>
    </row>
    <row r="23">
      <c r="A23" s="45" t="inlineStr">
        <is>
          <t>光学システム</t>
        </is>
      </c>
      <c r="B23" s="45" t="inlineStr">
        <is>
          <t>対物レンズ</t>
        </is>
      </c>
      <c r="C23" s="45" t="inlineStr">
        <is>
          <t>Mitutoyo</t>
        </is>
      </c>
      <c r="D23" s="45" t="inlineStr">
        <is>
          <t>M-PLAN APO SL 10X</t>
        </is>
      </c>
      <c r="E23" s="46" t="n">
        <v>1</v>
      </c>
      <c r="F23" s="52" t="inlineStr">
        <is>
          <t>③両方可</t>
        </is>
      </c>
      <c r="G23" s="48" t="inlineStr">
        <is>
          <t>可</t>
        </is>
      </c>
      <c r="H23" s="48" t="inlineStr">
        <is>
          <t>可</t>
        </is>
      </c>
      <c r="I23" s="48" t="inlineStr">
        <is>
          <t>可</t>
        </is>
      </c>
      <c r="J23" s="45" t="inlineStr">
        <is>
          <t>該当なし</t>
        </is>
      </c>
      <c r="K23" s="45" t="inlineStr">
        <is>
          <t>非該当（推定）</t>
        </is>
      </c>
      <c r="L23" s="46" t="inlineStr"/>
      <c r="M23" s="45" t="inlineStr">
        <is>
          <t>高価・小型・衝撃に弱い。</t>
        </is>
      </c>
      <c r="N23" s="45" t="inlineStr">
        <is>
          <t>持参</t>
        </is>
      </c>
    </row>
    <row r="24">
      <c r="A24" s="45" t="inlineStr">
        <is>
          <t>光学システム</t>
        </is>
      </c>
      <c r="B24" s="45" t="inlineStr">
        <is>
          <t>ミラー</t>
        </is>
      </c>
      <c r="C24" s="45" t="inlineStr">
        <is>
          <t>Thorlabs</t>
        </is>
      </c>
      <c r="D24" s="45" t="inlineStr">
        <is>
          <t>BB1-E02</t>
        </is>
      </c>
      <c r="E24" s="46" t="n">
        <v>5</v>
      </c>
      <c r="F24" s="52" t="inlineStr">
        <is>
          <t>③両方可</t>
        </is>
      </c>
      <c r="G24" s="48" t="inlineStr">
        <is>
          <t>可</t>
        </is>
      </c>
      <c r="H24" s="48" t="inlineStr">
        <is>
          <t>可</t>
        </is>
      </c>
      <c r="I24" s="48" t="inlineStr">
        <is>
          <t>可</t>
        </is>
      </c>
      <c r="J24" s="45" t="inlineStr">
        <is>
          <t>該当なし</t>
        </is>
      </c>
      <c r="K24" s="45" t="inlineStr">
        <is>
          <t>非該当（推定）</t>
        </is>
      </c>
      <c r="L24" s="46" t="inlineStr"/>
      <c r="M24" s="45" t="inlineStr">
        <is>
          <t>5枚。制約なし。</t>
        </is>
      </c>
      <c r="N24" s="45" t="inlineStr">
        <is>
          <t>発送</t>
        </is>
      </c>
    </row>
    <row r="25">
      <c r="A25" s="45" t="inlineStr">
        <is>
          <t>光学システム</t>
        </is>
      </c>
      <c r="B25" s="45" t="inlineStr">
        <is>
          <t>ダイクロイックミラー</t>
        </is>
      </c>
      <c r="C25" s="45" t="inlineStr">
        <is>
          <t>Thorlabs</t>
        </is>
      </c>
      <c r="D25" s="45" t="inlineStr">
        <is>
          <t>DMLP567R</t>
        </is>
      </c>
      <c r="E25" s="46" t="n">
        <v>1</v>
      </c>
      <c r="F25" s="52" t="inlineStr">
        <is>
          <t>③両方可</t>
        </is>
      </c>
      <c r="G25" s="48" t="inlineStr">
        <is>
          <t>可</t>
        </is>
      </c>
      <c r="H25" s="48" t="inlineStr">
        <is>
          <t>可</t>
        </is>
      </c>
      <c r="I25" s="48" t="inlineStr">
        <is>
          <t>可</t>
        </is>
      </c>
      <c r="J25" s="45" t="inlineStr">
        <is>
          <t>該当なし</t>
        </is>
      </c>
      <c r="K25" s="45" t="inlineStr">
        <is>
          <t>非該当（推定）</t>
        </is>
      </c>
      <c r="L25" s="46" t="inlineStr"/>
      <c r="M25" s="45" t="inlineStr">
        <is>
          <t>光学薄膜品。破損に注意。</t>
        </is>
      </c>
      <c r="N25" s="45" t="inlineStr">
        <is>
          <t>持参</t>
        </is>
      </c>
    </row>
    <row r="26">
      <c r="A26" s="45" t="inlineStr">
        <is>
          <t>光学システム</t>
        </is>
      </c>
      <c r="B26" s="45" t="inlineStr">
        <is>
          <t>ロングパスフィルター？</t>
        </is>
      </c>
      <c r="C26" s="45" t="inlineStr">
        <is>
          <t>Thorlabs</t>
        </is>
      </c>
      <c r="D26" s="45" t="inlineStr">
        <is>
          <t>FELH0650</t>
        </is>
      </c>
      <c r="E26" s="46" t="n">
        <v>1</v>
      </c>
      <c r="F26" s="52" t="inlineStr">
        <is>
          <t>③両方可</t>
        </is>
      </c>
      <c r="G26" s="48" t="inlineStr">
        <is>
          <t>可</t>
        </is>
      </c>
      <c r="H26" s="48" t="inlineStr">
        <is>
          <t>可</t>
        </is>
      </c>
      <c r="I26" s="48" t="inlineStr">
        <is>
          <t>可</t>
        </is>
      </c>
      <c r="J26" s="45" t="inlineStr">
        <is>
          <t>該当なし</t>
        </is>
      </c>
      <c r="K26" s="45" t="inlineStr">
        <is>
          <t>非該当（推定）</t>
        </is>
      </c>
      <c r="L26" s="46" t="inlineStr"/>
      <c r="M26" s="45" t="inlineStr">
        <is>
          <t>光学薄膜品。破損に注意。</t>
        </is>
      </c>
      <c r="N26" s="45" t="inlineStr">
        <is>
          <t>持参</t>
        </is>
      </c>
    </row>
    <row r="27">
      <c r="A27" s="45" t="inlineStr">
        <is>
          <t>光学システム</t>
        </is>
      </c>
      <c r="B27" s="45" t="inlineStr">
        <is>
          <t>ビームスプリッター</t>
        </is>
      </c>
      <c r="C27" s="45" t="inlineStr">
        <is>
          <t>Thorlabs</t>
        </is>
      </c>
      <c r="D27" s="45" t="inlineStr">
        <is>
          <t>BSN10R</t>
        </is>
      </c>
      <c r="E27" s="46" t="n">
        <v>1</v>
      </c>
      <c r="F27" s="52" t="inlineStr">
        <is>
          <t>③両方可</t>
        </is>
      </c>
      <c r="G27" s="48" t="inlineStr">
        <is>
          <t>可</t>
        </is>
      </c>
      <c r="H27" s="48" t="inlineStr">
        <is>
          <t>可</t>
        </is>
      </c>
      <c r="I27" s="48" t="inlineStr">
        <is>
          <t>可</t>
        </is>
      </c>
      <c r="J27" s="45" t="inlineStr">
        <is>
          <t>該当なし</t>
        </is>
      </c>
      <c r="K27" s="45" t="inlineStr">
        <is>
          <t>非該当（推定）</t>
        </is>
      </c>
      <c r="L27" s="46" t="inlineStr"/>
      <c r="M27" s="45" t="inlineStr">
        <is>
          <t>光学薄膜品。破損に注意。</t>
        </is>
      </c>
      <c r="N27" s="45" t="inlineStr">
        <is>
          <t>持参</t>
        </is>
      </c>
    </row>
    <row r="28">
      <c r="A28" s="45" t="inlineStr">
        <is>
          <t>光学システム</t>
        </is>
      </c>
      <c r="B28" s="45" t="inlineStr">
        <is>
          <t>アクロマティックダブルレンズ？</t>
        </is>
      </c>
      <c r="C28" s="45" t="inlineStr">
        <is>
          <t>Thorlabs</t>
        </is>
      </c>
      <c r="D28" s="45" t="inlineStr">
        <is>
          <t>AC254-200-A-ML</t>
        </is>
      </c>
      <c r="E28" s="46" t="n">
        <v>1</v>
      </c>
      <c r="F28" s="52" t="inlineStr">
        <is>
          <t>③両方可</t>
        </is>
      </c>
      <c r="G28" s="48" t="inlineStr">
        <is>
          <t>可</t>
        </is>
      </c>
      <c r="H28" s="48" t="inlineStr">
        <is>
          <t>可</t>
        </is>
      </c>
      <c r="I28" s="48" t="inlineStr">
        <is>
          <t>可</t>
        </is>
      </c>
      <c r="J28" s="45" t="inlineStr">
        <is>
          <t>該当なし</t>
        </is>
      </c>
      <c r="K28" s="45" t="inlineStr">
        <is>
          <t>非該当（推定）</t>
        </is>
      </c>
      <c r="L28" s="46" t="inlineStr"/>
      <c r="M28" s="45" t="inlineStr">
        <is>
          <t>制約なし。</t>
        </is>
      </c>
      <c r="N28" s="45" t="inlineStr">
        <is>
          <t>持参</t>
        </is>
      </c>
    </row>
    <row r="29">
      <c r="A29" s="45" t="inlineStr">
        <is>
          <t>光学システム</t>
        </is>
      </c>
      <c r="B29" s="45" t="inlineStr">
        <is>
          <t>広視野ODMR用平凸レンズ</t>
        </is>
      </c>
      <c r="C29" s="45" t="inlineStr">
        <is>
          <t>Thorlabs</t>
        </is>
      </c>
      <c r="D29" s="45" t="inlineStr">
        <is>
          <t>LA1509-A</t>
        </is>
      </c>
      <c r="E29" s="46" t="n">
        <v>1</v>
      </c>
      <c r="F29" s="52" t="inlineStr">
        <is>
          <t>③両方可</t>
        </is>
      </c>
      <c r="G29" s="48" t="inlineStr">
        <is>
          <t>可</t>
        </is>
      </c>
      <c r="H29" s="48" t="inlineStr">
        <is>
          <t>可</t>
        </is>
      </c>
      <c r="I29" s="48" t="inlineStr">
        <is>
          <t>可</t>
        </is>
      </c>
      <c r="J29" s="45" t="inlineStr">
        <is>
          <t>該当なし</t>
        </is>
      </c>
      <c r="K29" s="45" t="inlineStr">
        <is>
          <t>非該当（推定）</t>
        </is>
      </c>
      <c r="L29" s="46" t="inlineStr"/>
      <c r="M29" s="45" t="inlineStr">
        <is>
          <t>焦点距離は現地の光学配置に依存するため、現地調達も選択肢。</t>
        </is>
      </c>
      <c r="N29" s="45" t="inlineStr">
        <is>
          <t>発送（または現地調達）</t>
        </is>
      </c>
    </row>
    <row r="30">
      <c r="A30" s="45" t="inlineStr">
        <is>
          <t>光学システム</t>
        </is>
      </c>
      <c r="B30" s="45" t="inlineStr">
        <is>
          <t>ステージ</t>
        </is>
      </c>
      <c r="C30" s="45" t="inlineStr">
        <is>
          <t>シグマ光機</t>
        </is>
      </c>
      <c r="D30" s="45" t="inlineStr">
        <is>
          <t>NTSD-405C</t>
        </is>
      </c>
      <c r="E30" s="46" t="n">
        <v>1</v>
      </c>
      <c r="F30" s="54" t="inlineStr">
        <is>
          <t>①発送のみ</t>
        </is>
      </c>
      <c r="G30" s="50" t="inlineStr">
        <is>
          <t>不可</t>
        </is>
      </c>
      <c r="H30" s="49" t="inlineStr">
        <is>
          <t>条件付き可</t>
        </is>
      </c>
      <c r="I30" s="48" t="inlineStr">
        <is>
          <t>可</t>
        </is>
      </c>
      <c r="J30" s="45" t="inlineStr">
        <is>
          <t>該当なし</t>
        </is>
      </c>
      <c r="K30" s="45" t="inlineStr">
        <is>
          <t>非該当（推定）</t>
        </is>
      </c>
      <c r="L30" s="46" t="inlineStr"/>
      <c r="M30" s="45" t="inlineStr">
        <is>
          <t>精密ステージ。重量・容積で手荷物に収まらない。</t>
        </is>
      </c>
      <c r="N30" s="45" t="inlineStr">
        <is>
          <t>発送（緩衝材を厚めに）</t>
        </is>
      </c>
    </row>
    <row r="31">
      <c r="A31" s="45" t="inlineStr">
        <is>
          <t>光学システム</t>
        </is>
      </c>
      <c r="B31" s="45" t="inlineStr">
        <is>
          <t>DAC固定器具</t>
        </is>
      </c>
      <c r="C31" s="45" t="inlineStr">
        <is>
          <t>シグマ光機</t>
        </is>
      </c>
      <c r="D31" s="45" t="inlineStr">
        <is>
          <t>不明</t>
        </is>
      </c>
      <c r="E31" s="46" t="n">
        <v>1</v>
      </c>
      <c r="F31" s="54" t="inlineStr">
        <is>
          <t>①発送のみ</t>
        </is>
      </c>
      <c r="G31" s="50" t="inlineStr">
        <is>
          <t>不可</t>
        </is>
      </c>
      <c r="H31" s="49" t="inlineStr">
        <is>
          <t>条件付き可</t>
        </is>
      </c>
      <c r="I31" s="48" t="inlineStr">
        <is>
          <t>可</t>
        </is>
      </c>
      <c r="J31" s="45" t="inlineStr">
        <is>
          <t>該当なし</t>
        </is>
      </c>
      <c r="K31" s="45" t="inlineStr">
        <is>
          <t>非該当（推定）</t>
        </is>
      </c>
      <c r="L31" s="46" t="inlineStr"/>
      <c r="M31" s="45" t="inlineStr">
        <is>
          <t>金属治具。重量のため発送。</t>
        </is>
      </c>
      <c r="N31" s="45" t="inlineStr">
        <is>
          <t>発送</t>
        </is>
      </c>
    </row>
    <row r="32">
      <c r="A32" s="45" t="inlineStr">
        <is>
          <t>光学システム</t>
        </is>
      </c>
      <c r="B32" s="45" t="inlineStr">
        <is>
          <t>ステージの治具</t>
        </is>
      </c>
      <c r="C32" s="45" t="inlineStr">
        <is>
          <t>ミスミ</t>
        </is>
      </c>
      <c r="D32" s="45" t="inlineStr">
        <is>
          <t>オーダーメイド</t>
        </is>
      </c>
      <c r="E32" s="46" t="n">
        <v>1</v>
      </c>
      <c r="F32" s="54" t="inlineStr">
        <is>
          <t>①発送のみ</t>
        </is>
      </c>
      <c r="G32" s="50" t="inlineStr">
        <is>
          <t>不可</t>
        </is>
      </c>
      <c r="H32" s="49" t="inlineStr">
        <is>
          <t>条件付き可</t>
        </is>
      </c>
      <c r="I32" s="48" t="inlineStr">
        <is>
          <t>可</t>
        </is>
      </c>
      <c r="J32" s="45" t="inlineStr">
        <is>
          <t>該当なし</t>
        </is>
      </c>
      <c r="K32" s="45" t="inlineStr">
        <is>
          <t>非該当（推定）</t>
        </is>
      </c>
      <c r="L32" s="46" t="inlineStr"/>
      <c r="M32" s="45" t="inlineStr">
        <is>
          <t>オーダーメイド品で再製作に時間がかかるため確実に発送する。</t>
        </is>
      </c>
      <c r="N32" s="45" t="inlineStr">
        <is>
          <t>発送（図面も現地に持参）</t>
        </is>
      </c>
    </row>
    <row r="33">
      <c r="A33" s="45" t="inlineStr">
        <is>
          <t>光学システム</t>
        </is>
      </c>
      <c r="B33" s="45" t="inlineStr">
        <is>
          <t>落射照明用マウント付きLED</t>
        </is>
      </c>
      <c r="C33" s="45" t="inlineStr">
        <is>
          <t>Thorlabs</t>
        </is>
      </c>
      <c r="D33" s="45" t="inlineStr">
        <is>
          <t>M660L4</t>
        </is>
      </c>
      <c r="E33" s="46" t="n">
        <v>1</v>
      </c>
      <c r="F33" s="52" t="inlineStr">
        <is>
          <t>③両方可</t>
        </is>
      </c>
      <c r="G33" s="48" t="inlineStr">
        <is>
          <t>可</t>
        </is>
      </c>
      <c r="H33" s="48" t="inlineStr">
        <is>
          <t>可</t>
        </is>
      </c>
      <c r="I33" s="48" t="inlineStr">
        <is>
          <t>可</t>
        </is>
      </c>
      <c r="J33" s="45" t="inlineStr">
        <is>
          <t>該当なし</t>
        </is>
      </c>
      <c r="K33" s="45" t="inlineStr">
        <is>
          <t>非該当（推定）</t>
        </is>
      </c>
      <c r="L33" s="46" t="inlineStr"/>
      <c r="M33" s="45" t="inlineStr">
        <is>
          <t>制約なし。</t>
        </is>
      </c>
      <c r="N33" s="45" t="inlineStr">
        <is>
          <t>発送</t>
        </is>
      </c>
    </row>
    <row r="34">
      <c r="A34" s="45" t="inlineStr">
        <is>
          <t>光学システム</t>
        </is>
      </c>
      <c r="B34" s="45" t="inlineStr">
        <is>
          <t>コリメーションアダプター</t>
        </is>
      </c>
      <c r="C34" s="45" t="inlineStr">
        <is>
          <t>Thorlabs</t>
        </is>
      </c>
      <c r="D34" s="45" t="inlineStr">
        <is>
          <t>SM1U25-A</t>
        </is>
      </c>
      <c r="E34" s="46" t="n">
        <v>1</v>
      </c>
      <c r="F34" s="52" t="inlineStr">
        <is>
          <t>③両方可</t>
        </is>
      </c>
      <c r="G34" s="48" t="inlineStr">
        <is>
          <t>可</t>
        </is>
      </c>
      <c r="H34" s="48" t="inlineStr">
        <is>
          <t>可</t>
        </is>
      </c>
      <c r="I34" s="48" t="inlineStr">
        <is>
          <t>可</t>
        </is>
      </c>
      <c r="J34" s="45" t="inlineStr">
        <is>
          <t>該当なし</t>
        </is>
      </c>
      <c r="K34" s="45" t="inlineStr">
        <is>
          <t>非該当（推定）</t>
        </is>
      </c>
      <c r="L34" s="46" t="inlineStr"/>
      <c r="M34" s="45" t="inlineStr">
        <is>
          <t>制約なし。</t>
        </is>
      </c>
      <c r="N34" s="45" t="inlineStr">
        <is>
          <t>発送</t>
        </is>
      </c>
    </row>
    <row r="35">
      <c r="A35" s="45" t="inlineStr">
        <is>
          <t>光学システム</t>
        </is>
      </c>
      <c r="B35" s="45" t="inlineStr">
        <is>
          <t>LEDドライバー</t>
        </is>
      </c>
      <c r="C35" s="45" t="inlineStr">
        <is>
          <t>Thorlabs</t>
        </is>
      </c>
      <c r="D35" s="45" t="inlineStr">
        <is>
          <t>LEDD1B</t>
        </is>
      </c>
      <c r="E35" s="46" t="n">
        <v>1</v>
      </c>
      <c r="F35" s="52" t="inlineStr">
        <is>
          <t>③両方可</t>
        </is>
      </c>
      <c r="G35" s="48" t="inlineStr">
        <is>
          <t>可</t>
        </is>
      </c>
      <c r="H35" s="48" t="inlineStr">
        <is>
          <t>可</t>
        </is>
      </c>
      <c r="I35" s="48" t="inlineStr">
        <is>
          <t>可</t>
        </is>
      </c>
      <c r="J35" s="45" t="inlineStr">
        <is>
          <t>該当なし</t>
        </is>
      </c>
      <c r="K35" s="45" t="inlineStr">
        <is>
          <t>非該当（推定）</t>
        </is>
      </c>
      <c r="L35" s="46" t="inlineStr"/>
      <c r="M35" s="45" t="inlineStr">
        <is>
          <t>制約なし。</t>
        </is>
      </c>
      <c r="N35" s="45" t="inlineStr">
        <is>
          <t>発送</t>
        </is>
      </c>
    </row>
    <row r="36">
      <c r="A36" s="45" t="inlineStr">
        <is>
          <t>光学システム</t>
        </is>
      </c>
      <c r="B36" s="45" t="inlineStr">
        <is>
          <t>LEDドライバー用電源</t>
        </is>
      </c>
      <c r="C36" s="45" t="inlineStr">
        <is>
          <t>Thorlabs</t>
        </is>
      </c>
      <c r="D36" s="45" t="inlineStr">
        <is>
          <t>KPS201</t>
        </is>
      </c>
      <c r="E36" s="46" t="n">
        <v>1</v>
      </c>
      <c r="F36" s="52" t="inlineStr">
        <is>
          <t>③両方可</t>
        </is>
      </c>
      <c r="G36" s="48" t="inlineStr">
        <is>
          <t>可</t>
        </is>
      </c>
      <c r="H36" s="48" t="inlineStr">
        <is>
          <t>可</t>
        </is>
      </c>
      <c r="I36" s="48" t="inlineStr">
        <is>
          <t>可</t>
        </is>
      </c>
      <c r="J36" s="45" t="inlineStr">
        <is>
          <t>該当なし</t>
        </is>
      </c>
      <c r="K36" s="45" t="inlineStr">
        <is>
          <t>非該当（推定）</t>
        </is>
      </c>
      <c r="L36" s="46" t="inlineStr"/>
      <c r="M36" s="45" t="inlineStr">
        <is>
          <t>ACアダプタ。ドイツの230V/Cタイプ対応を確認すること。</t>
        </is>
      </c>
      <c r="N36" s="45" t="inlineStr">
        <is>
          <t>発送（プラグ変換要）</t>
        </is>
      </c>
    </row>
    <row r="37">
      <c r="A37" s="45" t="inlineStr">
        <is>
          <t>光学システム</t>
        </is>
      </c>
      <c r="B37" s="45" t="inlineStr">
        <is>
          <t>NDフィルター</t>
        </is>
      </c>
      <c r="C37" s="45" t="inlineStr">
        <is>
          <t>Thorlabs</t>
        </is>
      </c>
      <c r="D37" s="45" t="inlineStr">
        <is>
          <t>NE10A-A / NE20A-A</t>
        </is>
      </c>
      <c r="E37" s="46" t="n">
        <v>2</v>
      </c>
      <c r="F37" s="52" t="inlineStr">
        <is>
          <t>③両方可</t>
        </is>
      </c>
      <c r="G37" s="48" t="inlineStr">
        <is>
          <t>可</t>
        </is>
      </c>
      <c r="H37" s="48" t="inlineStr">
        <is>
          <t>可</t>
        </is>
      </c>
      <c r="I37" s="48" t="inlineStr">
        <is>
          <t>可</t>
        </is>
      </c>
      <c r="J37" s="45" t="inlineStr">
        <is>
          <t>該当なし</t>
        </is>
      </c>
      <c r="K37" s="45" t="inlineStr">
        <is>
          <t>非該当（推定）</t>
        </is>
      </c>
      <c r="L37" s="46" t="inlineStr"/>
      <c r="M37" s="45" t="inlineStr">
        <is>
          <t>制約なし。</t>
        </is>
      </c>
      <c r="N37" s="45" t="inlineStr">
        <is>
          <t>持参</t>
        </is>
      </c>
    </row>
    <row r="38">
      <c r="A38" s="45" t="inlineStr">
        <is>
          <t>光学システム</t>
        </is>
      </c>
      <c r="B38" s="45" t="inlineStr">
        <is>
          <t>クランプフォーク</t>
        </is>
      </c>
      <c r="C38" s="45" t="inlineStr">
        <is>
          <t>Thorlabs</t>
        </is>
      </c>
      <c r="D38" s="45" t="inlineStr">
        <is>
          <t>CF038</t>
        </is>
      </c>
      <c r="E38" s="46" t="n">
        <v>4</v>
      </c>
      <c r="F38" s="54" t="inlineStr">
        <is>
          <t>①発送のみ</t>
        </is>
      </c>
      <c r="G38" s="50" t="inlineStr">
        <is>
          <t>不可</t>
        </is>
      </c>
      <c r="H38" s="48" t="inlineStr">
        <is>
          <t>可</t>
        </is>
      </c>
      <c r="I38" s="48" t="inlineStr">
        <is>
          <t>可</t>
        </is>
      </c>
      <c r="J38" s="45" t="inlineStr">
        <is>
          <t>該当なし</t>
        </is>
      </c>
      <c r="K38" s="45" t="inlineStr">
        <is>
          <t>非該当（推定）</t>
        </is>
      </c>
      <c r="L38" s="46" t="inlineStr"/>
      <c r="M38" s="45" t="inlineStr">
        <is>
          <t>金属工具類。キャビン持込は保安検査で止められる可能性が高い。</t>
        </is>
      </c>
      <c r="N38" s="45" t="inlineStr">
        <is>
          <t>発送</t>
        </is>
      </c>
    </row>
    <row r="39">
      <c r="A39" s="45" t="inlineStr">
        <is>
          <t>光学システム</t>
        </is>
      </c>
      <c r="B39" s="45" t="inlineStr">
        <is>
          <t>クランプフォーク</t>
        </is>
      </c>
      <c r="C39" s="45" t="inlineStr">
        <is>
          <t>Thorlabs</t>
        </is>
      </c>
      <c r="D39" s="45" t="inlineStr">
        <is>
          <t>CF175</t>
        </is>
      </c>
      <c r="E39" s="46" t="n">
        <v>12</v>
      </c>
      <c r="F39" s="54" t="inlineStr">
        <is>
          <t>①発送のみ</t>
        </is>
      </c>
      <c r="G39" s="50" t="inlineStr">
        <is>
          <t>不可</t>
        </is>
      </c>
      <c r="H39" s="48" t="inlineStr">
        <is>
          <t>可</t>
        </is>
      </c>
      <c r="I39" s="48" t="inlineStr">
        <is>
          <t>可</t>
        </is>
      </c>
      <c r="J39" s="45" t="inlineStr">
        <is>
          <t>該当なし</t>
        </is>
      </c>
      <c r="K39" s="45" t="inlineStr">
        <is>
          <t>非該当（推定）</t>
        </is>
      </c>
      <c r="L39" s="46" t="inlineStr"/>
      <c r="M39" s="45" t="inlineStr">
        <is>
          <t>12個。重量のため発送。</t>
        </is>
      </c>
      <c r="N39" s="45" t="inlineStr">
        <is>
          <t>発送</t>
        </is>
      </c>
    </row>
    <row r="40">
      <c r="A40" s="45" t="inlineStr">
        <is>
          <t>光学システム</t>
        </is>
      </c>
      <c r="B40" s="45" t="inlineStr">
        <is>
          <t>ベース</t>
        </is>
      </c>
      <c r="C40" s="45" t="inlineStr">
        <is>
          <t>Thorlabs</t>
        </is>
      </c>
      <c r="D40" s="45" t="inlineStr">
        <is>
          <t>BE1/M</t>
        </is>
      </c>
      <c r="E40" s="46" t="n">
        <v>12</v>
      </c>
      <c r="F40" s="54" t="inlineStr">
        <is>
          <t>①発送のみ</t>
        </is>
      </c>
      <c r="G40" s="50" t="inlineStr">
        <is>
          <t>不可</t>
        </is>
      </c>
      <c r="H40" s="48" t="inlineStr">
        <is>
          <t>可</t>
        </is>
      </c>
      <c r="I40" s="48" t="inlineStr">
        <is>
          <t>可</t>
        </is>
      </c>
      <c r="J40" s="45" t="inlineStr">
        <is>
          <t>該当なし</t>
        </is>
      </c>
      <c r="K40" s="45" t="inlineStr">
        <is>
          <t>非該当（推定）</t>
        </is>
      </c>
      <c r="L40" s="46" t="inlineStr"/>
      <c r="M40" s="45" t="inlineStr">
        <is>
          <t>12個。重量のため発送。</t>
        </is>
      </c>
      <c r="N40" s="45" t="inlineStr">
        <is>
          <t>発送</t>
        </is>
      </c>
    </row>
    <row r="41">
      <c r="A41" s="45" t="inlineStr">
        <is>
          <t>光学システム</t>
        </is>
      </c>
      <c r="B41" s="45" t="inlineStr">
        <is>
          <t>ホルダー</t>
        </is>
      </c>
      <c r="C41" s="45" t="inlineStr">
        <is>
          <t>Thorlabs</t>
        </is>
      </c>
      <c r="D41" s="45" t="inlineStr">
        <is>
          <t>PH30/M</t>
        </is>
      </c>
      <c r="E41" s="46" t="n">
        <v>4</v>
      </c>
      <c r="F41" s="54" t="inlineStr">
        <is>
          <t>①発送のみ</t>
        </is>
      </c>
      <c r="G41" s="50" t="inlineStr">
        <is>
          <t>不可</t>
        </is>
      </c>
      <c r="H41" s="48" t="inlineStr">
        <is>
          <t>可</t>
        </is>
      </c>
      <c r="I41" s="48" t="inlineStr">
        <is>
          <t>可</t>
        </is>
      </c>
      <c r="J41" s="45" t="inlineStr">
        <is>
          <t>該当なし</t>
        </is>
      </c>
      <c r="K41" s="45" t="inlineStr">
        <is>
          <t>非該当（推定）</t>
        </is>
      </c>
      <c r="L41" s="46" t="inlineStr"/>
      <c r="M41" s="45" t="inlineStr">
        <is>
          <t>重量のため発送。</t>
        </is>
      </c>
      <c r="N41" s="45" t="inlineStr">
        <is>
          <t>発送</t>
        </is>
      </c>
    </row>
    <row r="42">
      <c r="A42" s="45" t="inlineStr">
        <is>
          <t>光学システム</t>
        </is>
      </c>
      <c r="B42" s="45" t="inlineStr">
        <is>
          <t>ホルダー</t>
        </is>
      </c>
      <c r="C42" s="45" t="inlineStr">
        <is>
          <t>Thorlabs</t>
        </is>
      </c>
      <c r="D42" s="45" t="inlineStr">
        <is>
          <t>PH50/M</t>
        </is>
      </c>
      <c r="E42" s="46" t="n">
        <v>8</v>
      </c>
      <c r="F42" s="54" t="inlineStr">
        <is>
          <t>①発送のみ</t>
        </is>
      </c>
      <c r="G42" s="50" t="inlineStr">
        <is>
          <t>不可</t>
        </is>
      </c>
      <c r="H42" s="48" t="inlineStr">
        <is>
          <t>可</t>
        </is>
      </c>
      <c r="I42" s="48" t="inlineStr">
        <is>
          <t>可</t>
        </is>
      </c>
      <c r="J42" s="45" t="inlineStr">
        <is>
          <t>該当なし</t>
        </is>
      </c>
      <c r="K42" s="45" t="inlineStr">
        <is>
          <t>非該当（推定）</t>
        </is>
      </c>
      <c r="L42" s="46" t="inlineStr"/>
      <c r="M42" s="45" t="inlineStr">
        <is>
          <t>重量のため発送。</t>
        </is>
      </c>
      <c r="N42" s="45" t="inlineStr">
        <is>
          <t>発送</t>
        </is>
      </c>
    </row>
    <row r="43">
      <c r="A43" s="45" t="inlineStr">
        <is>
          <t>光学システム</t>
        </is>
      </c>
      <c r="B43" s="45" t="inlineStr">
        <is>
          <t>ポスト</t>
        </is>
      </c>
      <c r="C43" s="45" t="inlineStr">
        <is>
          <t>Thorlabs</t>
        </is>
      </c>
      <c r="D43" s="45" t="inlineStr">
        <is>
          <t>TR75/M</t>
        </is>
      </c>
      <c r="E43" s="46" t="n">
        <v>4</v>
      </c>
      <c r="F43" s="54" t="inlineStr">
        <is>
          <t>①発送のみ</t>
        </is>
      </c>
      <c r="G43" s="50" t="inlineStr">
        <is>
          <t>不可</t>
        </is>
      </c>
      <c r="H43" s="48" t="inlineStr">
        <is>
          <t>可</t>
        </is>
      </c>
      <c r="I43" s="48" t="inlineStr">
        <is>
          <t>可</t>
        </is>
      </c>
      <c r="J43" s="45" t="inlineStr">
        <is>
          <t>該当なし</t>
        </is>
      </c>
      <c r="K43" s="45" t="inlineStr">
        <is>
          <t>非該当（推定）</t>
        </is>
      </c>
      <c r="L43" s="46" t="inlineStr"/>
      <c r="M43" s="45" t="inlineStr">
        <is>
          <t>金属棒状。キャビン持込は不可と考える。</t>
        </is>
      </c>
      <c r="N43" s="45" t="inlineStr">
        <is>
          <t>発送</t>
        </is>
      </c>
    </row>
    <row r="44">
      <c r="A44" s="45" t="inlineStr">
        <is>
          <t>光学システム</t>
        </is>
      </c>
      <c r="B44" s="45" t="inlineStr">
        <is>
          <t>ポスト</t>
        </is>
      </c>
      <c r="C44" s="45" t="inlineStr">
        <is>
          <t>Thorlabs</t>
        </is>
      </c>
      <c r="D44" s="45" t="inlineStr">
        <is>
          <t>TR100/M</t>
        </is>
      </c>
      <c r="E44" s="46" t="n">
        <v>8</v>
      </c>
      <c r="F44" s="54" t="inlineStr">
        <is>
          <t>①発送のみ</t>
        </is>
      </c>
      <c r="G44" s="50" t="inlineStr">
        <is>
          <t>不可</t>
        </is>
      </c>
      <c r="H44" s="48" t="inlineStr">
        <is>
          <t>可</t>
        </is>
      </c>
      <c r="I44" s="48" t="inlineStr">
        <is>
          <t>可</t>
        </is>
      </c>
      <c r="J44" s="45" t="inlineStr">
        <is>
          <t>該当なし</t>
        </is>
      </c>
      <c r="K44" s="45" t="inlineStr">
        <is>
          <t>非該当（推定）</t>
        </is>
      </c>
      <c r="L44" s="46" t="inlineStr"/>
      <c r="M44" s="45" t="inlineStr">
        <is>
          <t>金属棒状。キャビン持込は不可と考える。</t>
        </is>
      </c>
      <c r="N44" s="45" t="inlineStr">
        <is>
          <t>発送</t>
        </is>
      </c>
    </row>
    <row r="45">
      <c r="A45" s="45" t="inlineStr">
        <is>
          <t>光学システム</t>
        </is>
      </c>
      <c r="B45" s="45" t="inlineStr">
        <is>
          <t>ミラーマウント</t>
        </is>
      </c>
      <c r="C45" s="45" t="inlineStr">
        <is>
          <t>Thorlabs</t>
        </is>
      </c>
      <c r="D45" s="45" t="inlineStr">
        <is>
          <t>KM100</t>
        </is>
      </c>
      <c r="E45" s="46" t="n">
        <v>4</v>
      </c>
      <c r="F45" s="54" t="inlineStr">
        <is>
          <t>①発送のみ</t>
        </is>
      </c>
      <c r="G45" s="50" t="inlineStr">
        <is>
          <t>不可</t>
        </is>
      </c>
      <c r="H45" s="48" t="inlineStr">
        <is>
          <t>可</t>
        </is>
      </c>
      <c r="I45" s="48" t="inlineStr">
        <is>
          <t>可</t>
        </is>
      </c>
      <c r="J45" s="45" t="inlineStr">
        <is>
          <t>該当なし</t>
        </is>
      </c>
      <c r="K45" s="45" t="inlineStr">
        <is>
          <t>非該当（推定）</t>
        </is>
      </c>
      <c r="L45" s="46" t="inlineStr"/>
      <c r="M45" s="45" t="inlineStr">
        <is>
          <t>4個。重量のため発送。</t>
        </is>
      </c>
      <c r="N45" s="45" t="inlineStr">
        <is>
          <t>発送</t>
        </is>
      </c>
    </row>
    <row r="46">
      <c r="A46" s="45" t="inlineStr">
        <is>
          <t>光学システム</t>
        </is>
      </c>
      <c r="B46" s="45" t="inlineStr">
        <is>
          <t>ミラーマウント</t>
        </is>
      </c>
      <c r="C46" s="45" t="inlineStr">
        <is>
          <t>Thorlabs</t>
        </is>
      </c>
      <c r="D46" s="45" t="inlineStr">
        <is>
          <t>LMR1/M</t>
        </is>
      </c>
      <c r="E46" s="46" t="n">
        <v>2</v>
      </c>
      <c r="F46" s="52" t="inlineStr">
        <is>
          <t>③両方可</t>
        </is>
      </c>
      <c r="G46" s="48" t="inlineStr">
        <is>
          <t>可</t>
        </is>
      </c>
      <c r="H46" s="48" t="inlineStr">
        <is>
          <t>可</t>
        </is>
      </c>
      <c r="I46" s="48" t="inlineStr">
        <is>
          <t>可</t>
        </is>
      </c>
      <c r="J46" s="45" t="inlineStr">
        <is>
          <t>該当なし</t>
        </is>
      </c>
      <c r="K46" s="45" t="inlineStr">
        <is>
          <t>非該当（推定）</t>
        </is>
      </c>
      <c r="L46" s="46" t="inlineStr"/>
      <c r="M46" s="45" t="inlineStr">
        <is>
          <t>小型。制約なし。</t>
        </is>
      </c>
      <c r="N46" s="45" t="inlineStr">
        <is>
          <t>発送</t>
        </is>
      </c>
    </row>
    <row r="47">
      <c r="A47" s="45" t="inlineStr">
        <is>
          <t>光学システム</t>
        </is>
      </c>
      <c r="B47" s="45" t="inlineStr">
        <is>
          <t>ケージプレート</t>
        </is>
      </c>
      <c r="C47" s="45" t="inlineStr">
        <is>
          <t>Thorlabs</t>
        </is>
      </c>
      <c r="D47" s="45" t="inlineStr">
        <is>
          <t>CP33/M</t>
        </is>
      </c>
      <c r="E47" s="46" t="n">
        <v>1</v>
      </c>
      <c r="F47" s="52" t="inlineStr">
        <is>
          <t>③両方可</t>
        </is>
      </c>
      <c r="G47" s="48" t="inlineStr">
        <is>
          <t>可</t>
        </is>
      </c>
      <c r="H47" s="48" t="inlineStr">
        <is>
          <t>可</t>
        </is>
      </c>
      <c r="I47" s="48" t="inlineStr">
        <is>
          <t>可</t>
        </is>
      </c>
      <c r="J47" s="45" t="inlineStr">
        <is>
          <t>該当なし</t>
        </is>
      </c>
      <c r="K47" s="45" t="inlineStr">
        <is>
          <t>非該当（推定）</t>
        </is>
      </c>
      <c r="L47" s="46" t="inlineStr"/>
      <c r="M47" s="45" t="inlineStr">
        <is>
          <t>制約なし。</t>
        </is>
      </c>
      <c r="N47" s="45" t="inlineStr">
        <is>
          <t>発送</t>
        </is>
      </c>
    </row>
    <row r="48">
      <c r="A48" s="45" t="inlineStr">
        <is>
          <t>光学システム</t>
        </is>
      </c>
      <c r="B48" s="45" t="inlineStr">
        <is>
          <t>ケージキューブ</t>
        </is>
      </c>
      <c r="C48" s="45" t="inlineStr">
        <is>
          <t>Thorlabs</t>
        </is>
      </c>
      <c r="D48" s="45" t="inlineStr">
        <is>
          <t>CM1-DCH/M</t>
        </is>
      </c>
      <c r="E48" s="46" t="n">
        <v>2</v>
      </c>
      <c r="F48" s="52" t="inlineStr">
        <is>
          <t>③両方可</t>
        </is>
      </c>
      <c r="G48" s="48" t="inlineStr">
        <is>
          <t>可</t>
        </is>
      </c>
      <c r="H48" s="48" t="inlineStr">
        <is>
          <t>可</t>
        </is>
      </c>
      <c r="I48" s="48" t="inlineStr">
        <is>
          <t>可</t>
        </is>
      </c>
      <c r="J48" s="45" t="inlineStr">
        <is>
          <t>該当なし</t>
        </is>
      </c>
      <c r="K48" s="45" t="inlineStr">
        <is>
          <t>非該当（推定）</t>
        </is>
      </c>
      <c r="L48" s="46" t="inlineStr"/>
      <c r="M48" s="45" t="inlineStr">
        <is>
          <t>制約なし。</t>
        </is>
      </c>
      <c r="N48" s="45" t="inlineStr">
        <is>
          <t>発送</t>
        </is>
      </c>
    </row>
    <row r="49">
      <c r="A49" s="45" t="inlineStr">
        <is>
          <t>光学システム</t>
        </is>
      </c>
      <c r="B49" s="45" t="inlineStr">
        <is>
          <t>ケージアセンブリロッド</t>
        </is>
      </c>
      <c r="C49" s="45" t="inlineStr">
        <is>
          <t>Thorlabs</t>
        </is>
      </c>
      <c r="D49" s="45" t="inlineStr">
        <is>
          <t>ER3</t>
        </is>
      </c>
      <c r="E49" s="46" t="n">
        <v>10</v>
      </c>
      <c r="F49" s="54" t="inlineStr">
        <is>
          <t>①発送のみ</t>
        </is>
      </c>
      <c r="G49" s="50" t="inlineStr">
        <is>
          <t>不可</t>
        </is>
      </c>
      <c r="H49" s="48" t="inlineStr">
        <is>
          <t>可</t>
        </is>
      </c>
      <c r="I49" s="48" t="inlineStr">
        <is>
          <t>可</t>
        </is>
      </c>
      <c r="J49" s="45" t="inlineStr">
        <is>
          <t>該当なし</t>
        </is>
      </c>
      <c r="K49" s="45" t="inlineStr">
        <is>
          <t>非該当（推定）</t>
        </is>
      </c>
      <c r="L49" s="46" t="inlineStr"/>
      <c r="M49" s="45" t="inlineStr">
        <is>
          <t>細長い金属ロッド10本。キャビン持込は保安検査で止められる。</t>
        </is>
      </c>
      <c r="N49" s="45" t="inlineStr">
        <is>
          <t>発送</t>
        </is>
      </c>
    </row>
    <row r="50">
      <c r="A50" s="45" t="inlineStr">
        <is>
          <t>光学システム</t>
        </is>
      </c>
      <c r="B50" s="45" t="inlineStr">
        <is>
          <t>アイリス</t>
        </is>
      </c>
      <c r="C50" s="45" t="inlineStr">
        <is>
          <t>Thorlabs</t>
        </is>
      </c>
      <c r="D50" s="45" t="n"/>
      <c r="E50" s="46" t="n">
        <v>4</v>
      </c>
      <c r="F50" s="52" t="inlineStr">
        <is>
          <t>③両方可</t>
        </is>
      </c>
      <c r="G50" s="48" t="inlineStr">
        <is>
          <t>可</t>
        </is>
      </c>
      <c r="H50" s="48" t="inlineStr">
        <is>
          <t>可</t>
        </is>
      </c>
      <c r="I50" s="48" t="inlineStr">
        <is>
          <t>可</t>
        </is>
      </c>
      <c r="J50" s="45" t="inlineStr">
        <is>
          <t>該当なし</t>
        </is>
      </c>
      <c r="K50" s="45" t="inlineStr">
        <is>
          <t>非該当（推定）</t>
        </is>
      </c>
      <c r="L50" s="46" t="inlineStr"/>
      <c r="M50" s="45" t="inlineStr">
        <is>
          <t>型番未確定のため発注前に確定させること。</t>
        </is>
      </c>
      <c r="N50" s="45" t="inlineStr">
        <is>
          <t>発送</t>
        </is>
      </c>
    </row>
    <row r="51">
      <c r="A51" s="45" t="inlineStr">
        <is>
          <t>光学システム</t>
        </is>
      </c>
      <c r="B51" s="45" t="inlineStr">
        <is>
          <t>チューブ</t>
        </is>
      </c>
      <c r="C51" s="45" t="n"/>
      <c r="D51" s="45" t="n"/>
      <c r="E51" s="46" t="n">
        <v>1</v>
      </c>
      <c r="F51" s="52" t="inlineStr">
        <is>
          <t>③両方可</t>
        </is>
      </c>
      <c r="G51" s="48" t="inlineStr">
        <is>
          <t>可</t>
        </is>
      </c>
      <c r="H51" s="48" t="inlineStr">
        <is>
          <t>可</t>
        </is>
      </c>
      <c r="I51" s="48" t="inlineStr">
        <is>
          <t>可</t>
        </is>
      </c>
      <c r="J51" s="45" t="inlineStr">
        <is>
          <t>該当なし</t>
        </is>
      </c>
      <c r="K51" s="45" t="inlineStr">
        <is>
          <t>非該当（推定）</t>
        </is>
      </c>
      <c r="L51" s="46" t="inlineStr"/>
      <c r="M51" s="45" t="inlineStr">
        <is>
          <t>cMOSとレンズマウントの接続用。型番未確定。</t>
        </is>
      </c>
      <c r="N51" s="45" t="inlineStr">
        <is>
          <t>発送</t>
        </is>
      </c>
    </row>
    <row r="52">
      <c r="A52" s="45" t="inlineStr">
        <is>
          <t>光学システム</t>
        </is>
      </c>
      <c r="B52" s="45" t="inlineStr">
        <is>
          <t>チューブ</t>
        </is>
      </c>
      <c r="C52" s="45" t="n"/>
      <c r="D52" s="45" t="n"/>
      <c r="E52" s="46" t="n">
        <v>1</v>
      </c>
      <c r="F52" s="52" t="inlineStr">
        <is>
          <t>③両方可</t>
        </is>
      </c>
      <c r="G52" s="48" t="inlineStr">
        <is>
          <t>可</t>
        </is>
      </c>
      <c r="H52" s="48" t="inlineStr">
        <is>
          <t>可</t>
        </is>
      </c>
      <c r="I52" s="48" t="inlineStr">
        <is>
          <t>可</t>
        </is>
      </c>
      <c r="J52" s="45" t="inlineStr">
        <is>
          <t>該当なし</t>
        </is>
      </c>
      <c r="K52" s="45" t="inlineStr">
        <is>
          <t>非該当（推定）</t>
        </is>
      </c>
      <c r="L52" s="46" t="inlineStr"/>
      <c r="M52" s="45" t="inlineStr">
        <is>
          <t>LEDコリメータとケージの接続用。型番未確定。</t>
        </is>
      </c>
      <c r="N52" s="45" t="inlineStr">
        <is>
          <t>発送</t>
        </is>
      </c>
    </row>
    <row r="53">
      <c r="A53" s="45" t="inlineStr">
        <is>
          <t>光学システム</t>
        </is>
      </c>
      <c r="B53" s="45" t="inlineStr">
        <is>
          <t>ゴーグル</t>
        </is>
      </c>
      <c r="C53" s="45" t="n"/>
      <c r="D53" s="45" t="n"/>
      <c r="E53" s="46" t="n"/>
      <c r="F53" s="52" t="inlineStr">
        <is>
          <t>③両方可</t>
        </is>
      </c>
      <c r="G53" s="48" t="inlineStr">
        <is>
          <t>可</t>
        </is>
      </c>
      <c r="H53" s="48" t="inlineStr">
        <is>
          <t>可</t>
        </is>
      </c>
      <c r="I53" s="48" t="inlineStr">
        <is>
          <t>可</t>
        </is>
      </c>
      <c r="J53" s="45" t="inlineStr">
        <is>
          <t>該当なし</t>
        </is>
      </c>
      <c r="K53" s="45" t="inlineStr">
        <is>
          <t>非該当（推定）</t>
        </is>
      </c>
      <c r="L53" s="46" t="inlineStr"/>
      <c r="M53" s="45" t="inlineStr">
        <is>
          <t>レーザーを持参するなら保護メガネも同時に携行すること。</t>
        </is>
      </c>
      <c r="N53" s="45" t="inlineStr">
        <is>
          <t>持参（レーザーと同梱しない）</t>
        </is>
      </c>
    </row>
    <row r="54">
      <c r="A54" s="45" t="inlineStr">
        <is>
          <t>光学システム</t>
        </is>
      </c>
      <c r="B54" s="45" t="inlineStr">
        <is>
          <t>六角レンチ（各サイズ）</t>
        </is>
      </c>
      <c r="C54" s="45" t="n"/>
      <c r="D54" s="45" t="n"/>
      <c r="E54" s="46" t="n"/>
      <c r="F54" s="54" t="inlineStr">
        <is>
          <t>①発送のみ</t>
        </is>
      </c>
      <c r="G54" s="50" t="inlineStr">
        <is>
          <t>不可</t>
        </is>
      </c>
      <c r="H54" s="48" t="inlineStr">
        <is>
          <t>可</t>
        </is>
      </c>
      <c r="I54" s="48" t="inlineStr">
        <is>
          <t>可</t>
        </is>
      </c>
      <c r="J54" s="45" t="inlineStr">
        <is>
          <t>該当なし</t>
        </is>
      </c>
      <c r="K54" s="45" t="inlineStr">
        <is>
          <t>非該当（推定）</t>
        </is>
      </c>
      <c r="L54" s="46" t="inlineStr"/>
      <c r="M54" s="45" t="inlineStr">
        <is>
          <t>工具はキャビン持込不可。預入または発送。</t>
        </is>
      </c>
      <c r="N54" s="45" t="inlineStr">
        <is>
          <t>発送（現地調達も容易）</t>
        </is>
      </c>
    </row>
    <row r="55">
      <c r="A55" s="45" t="inlineStr">
        <is>
          <t>光学システム</t>
        </is>
      </c>
      <c r="B55" s="45" t="inlineStr">
        <is>
          <t>柱</t>
        </is>
      </c>
      <c r="C55" s="45" t="n"/>
      <c r="D55" s="45" t="n"/>
      <c r="E55" s="46" t="n"/>
      <c r="F55" s="54" t="inlineStr">
        <is>
          <t>①発送のみ</t>
        </is>
      </c>
      <c r="G55" s="50" t="inlineStr">
        <is>
          <t>不可</t>
        </is>
      </c>
      <c r="H55" s="50" t="inlineStr">
        <is>
          <t>不可</t>
        </is>
      </c>
      <c r="I55" s="48" t="inlineStr">
        <is>
          <t>可</t>
        </is>
      </c>
      <c r="J55" s="45" t="inlineStr">
        <is>
          <t>該当なし</t>
        </is>
      </c>
      <c r="K55" s="45" t="inlineStr">
        <is>
          <t>非該当（推定）</t>
        </is>
      </c>
      <c r="L55" s="46" t="inlineStr"/>
      <c r="M55" s="45" t="inlineStr">
        <is>
          <t>長尺・重量物。手荷物・預入とも寸法制限を超える。</t>
        </is>
      </c>
      <c r="N55" s="45" t="inlineStr">
        <is>
          <t>発送（または現地調達）</t>
        </is>
      </c>
    </row>
    <row r="56">
      <c r="A56" s="45" t="inlineStr">
        <is>
          <t>光学システム</t>
        </is>
      </c>
      <c r="B56" s="45" t="inlineStr">
        <is>
          <t>黒い板</t>
        </is>
      </c>
      <c r="C56" s="45" t="n"/>
      <c r="D56" s="45" t="n"/>
      <c r="E56" s="46" t="n"/>
      <c r="F56" s="54" t="inlineStr">
        <is>
          <t>①発送のみ</t>
        </is>
      </c>
      <c r="G56" s="50" t="inlineStr">
        <is>
          <t>不可</t>
        </is>
      </c>
      <c r="H56" s="49" t="inlineStr">
        <is>
          <t>条件付き可</t>
        </is>
      </c>
      <c r="I56" s="48" t="inlineStr">
        <is>
          <t>可</t>
        </is>
      </c>
      <c r="J56" s="45" t="inlineStr">
        <is>
          <t>該当なし</t>
        </is>
      </c>
      <c r="K56" s="45" t="inlineStr">
        <is>
          <t>非該当（推定）</t>
        </is>
      </c>
      <c r="L56" s="46" t="inlineStr"/>
      <c r="M56" s="45" t="inlineStr">
        <is>
          <t>板状の大物。寸法制限に注意。</t>
        </is>
      </c>
      <c r="N56" s="45" t="inlineStr">
        <is>
          <t>発送（または現地調達）</t>
        </is>
      </c>
    </row>
    <row r="57">
      <c r="A57" s="45" t="inlineStr">
        <is>
          <t>検出システム</t>
        </is>
      </c>
      <c r="B57" s="45" t="inlineStr">
        <is>
          <t>CMOSカメラ</t>
        </is>
      </c>
      <c r="C57" s="45" t="inlineStr">
        <is>
          <t>Thorlabs</t>
        </is>
      </c>
      <c r="D57" s="45" t="inlineStr">
        <is>
          <t>CS165MU1/M</t>
        </is>
      </c>
      <c r="E57" s="46" t="n">
        <v>1</v>
      </c>
      <c r="F57" s="52" t="inlineStr">
        <is>
          <t>③両方可</t>
        </is>
      </c>
      <c r="G57" s="48" t="inlineStr">
        <is>
          <t>可</t>
        </is>
      </c>
      <c r="H57" s="49" t="inlineStr">
        <is>
          <t>条件付き可</t>
        </is>
      </c>
      <c r="I57" s="48" t="inlineStr">
        <is>
          <t>可</t>
        </is>
      </c>
      <c r="J57" s="45" t="inlineStr">
        <is>
          <t>該当なし</t>
        </is>
      </c>
      <c r="K57" s="45" t="inlineStr">
        <is>
          <t>非該当（推定）</t>
        </is>
      </c>
      <c r="L57" s="46" t="inlineStr"/>
      <c r="M57" s="45" t="inlineStr">
        <is>
          <t>精密機器。振動・衝撃に弱いため預入は避ける。</t>
        </is>
      </c>
      <c r="N57" s="45" t="inlineStr">
        <is>
          <t>持参</t>
        </is>
      </c>
    </row>
    <row r="59">
      <c r="A59" s="55" t="inlineStr">
        <is>
          <t>凡例</t>
        </is>
      </c>
    </row>
    <row r="60">
      <c r="A60" s="56" t="inlineStr">
        <is>
          <t>①発送のみ</t>
        </is>
      </c>
      <c r="B60" t="inlineStr">
        <is>
          <t>キャビン持込は不可（寸法・重量・工具規制）。発送または預入で運ぶ。</t>
        </is>
      </c>
    </row>
    <row r="61">
      <c r="A61" s="57" t="inlineStr">
        <is>
          <t>②機内持込のみ</t>
        </is>
      </c>
      <c r="B61" t="inlineStr">
        <is>
          <t>他研究室からの借用品で代替不能なため、実務上は発送に載せず必ず手荷物で運ぶ。</t>
        </is>
      </c>
    </row>
    <row r="62">
      <c r="A62" s="58" t="inlineStr">
        <is>
          <t>③両方可</t>
        </is>
      </c>
      <c r="B62" t="inlineStr">
        <is>
          <t>規則上どちらでも運べる。「推奨」列で実務上の振り分けを示した。</t>
        </is>
      </c>
    </row>
    <row r="63">
      <c r="A63" s="59" t="inlineStr">
        <is>
          <t>④両方不可</t>
        </is>
      </c>
      <c r="B63" t="inlineStr">
        <is>
          <t>旅客機で運べず、発送も危険物申告が必要。現地調達が現実的。</t>
        </is>
      </c>
    </row>
  </sheetData>
  <autoFilter ref="A4:N57"/>
  <mergeCells count="1">
    <mergeCell ref="A2:L2"/>
  </mergeCells>
  <printOptions horizontalCentered="0"/>
  <pageMargins left="0.4" right="0.4" top="0.5" bottom="0.5" header="0.2" footer="0.2"/>
  <pageSetup orientation="landscape" paperSize="8" fitToHeight="0" fitToWidth="1"/>
  <headerFooter>
    <oddHeader/>
    <oddFooter>&amp;C&amp;P / &amp;N ページ&amp;R&amp;D</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75"/>
  <sheetViews>
    <sheetView showGridLines="0" workbookViewId="0">
      <selection activeCell="A1" sqref="A1"/>
    </sheetView>
  </sheetViews>
  <sheetFormatPr baseColWidth="8" defaultRowHeight="15"/>
  <cols>
    <col width="12" customWidth="1" min="1" max="1"/>
    <col width="24" customWidth="1" min="2" max="2"/>
    <col width="13" customWidth="1" min="3" max="3"/>
    <col width="20" customWidth="1" min="4" max="4"/>
    <col width="7" customWidth="1" min="5" max="5"/>
    <col width="12" customWidth="1" min="6" max="6"/>
    <col width="12" customWidth="1" min="7" max="7"/>
    <col width="14" customWidth="1" min="8" max="8"/>
    <col width="30" customWidth="1" min="9" max="9"/>
  </cols>
  <sheetData>
    <row r="1">
      <c r="A1" s="42" t="inlineStr">
        <is>
          <t>ドイツ発送分の国内買い直しリスト（発注用）</t>
        </is>
      </c>
    </row>
    <row r="2" ht="46" customHeight="1">
      <c r="A2" s="43" t="inlineStr">
        <is>
          <t>「輸送分類」シートで推奨＝発送 とした品目、つまり実際にドイツへ送る分をセクションAに抽出した。単価は現時点の見積が無いため空欄とし「要見積」とした。推測値を入れると発注根拠にならないため、各社の最新見積で埋めること。セクションBの借用品は購入品ではないため買い直しの要否は借用元との調整事項、セクションDの持参品は日本から送らないので買い直し対象外（参考として掲載）。</t>
        </is>
      </c>
    </row>
    <row r="4">
      <c r="A4" s="60" t="inlineStr">
        <is>
          <t>A. 購入品（買い直し対象）</t>
        </is>
      </c>
    </row>
    <row r="5">
      <c r="A5" s="44" t="inlineStr">
        <is>
          <t>システム</t>
        </is>
      </c>
      <c r="B5" s="44" t="inlineStr">
        <is>
          <t>アイテム名</t>
        </is>
      </c>
      <c r="C5" s="44" t="inlineStr">
        <is>
          <t>メーカー</t>
        </is>
      </c>
      <c r="D5" s="44" t="inlineStr">
        <is>
          <t>型番</t>
        </is>
      </c>
      <c r="E5" s="44" t="inlineStr">
        <is>
          <t>数量</t>
        </is>
      </c>
      <c r="F5" s="44" t="inlineStr">
        <is>
          <t>概算単価(円)</t>
        </is>
      </c>
      <c r="G5" s="44" t="inlineStr">
        <is>
          <t>小計(円)</t>
        </is>
      </c>
      <c r="H5" s="44" t="inlineStr">
        <is>
          <t>購入先</t>
        </is>
      </c>
      <c r="I5" s="44" t="inlineStr">
        <is>
          <t>備考</t>
        </is>
      </c>
    </row>
    <row r="6">
      <c r="A6" s="45" t="inlineStr">
        <is>
          <t>マイクロ波システム</t>
        </is>
      </c>
      <c r="B6" s="45" t="inlineStr">
        <is>
          <t>エナメル線</t>
        </is>
      </c>
      <c r="C6" s="45" t="inlineStr">
        <is>
          <t>-</t>
        </is>
      </c>
      <c r="D6" s="45" t="inlineStr">
        <is>
          <t>-</t>
        </is>
      </c>
      <c r="E6" s="46" t="n">
        <v>1</v>
      </c>
      <c r="F6" s="46" t="inlineStr">
        <is>
          <t>要見積</t>
        </is>
      </c>
      <c r="G6" s="45">
        <f>IF(ISNUMBER(F6),E6*F6,"")</f>
        <v/>
      </c>
      <c r="H6" s="45" t="n"/>
      <c r="I6" s="45" t="inlineStr">
        <is>
          <t>型番未確定：発注前に確定</t>
        </is>
      </c>
    </row>
    <row r="7">
      <c r="A7" s="45" t="inlineStr">
        <is>
          <t>マイクロ波システム</t>
        </is>
      </c>
      <c r="B7" s="45" t="inlineStr">
        <is>
          <t>SMA同軸ケーブル（長さ609mm）</t>
        </is>
      </c>
      <c r="C7" s="45" t="inlineStr">
        <is>
          <t>Thorlabs</t>
        </is>
      </c>
      <c r="D7" s="45" t="inlineStr">
        <is>
          <t>CA2924</t>
        </is>
      </c>
      <c r="E7" s="46" t="n">
        <v>2</v>
      </c>
      <c r="F7" s="46" t="inlineStr">
        <is>
          <t>要見積</t>
        </is>
      </c>
      <c r="G7" s="45">
        <f>IF(ISNUMBER(F7),E7*F7,"")</f>
        <v/>
      </c>
      <c r="H7" s="45" t="n"/>
      <c r="I7" s="45" t="inlineStr">
        <is>
          <t>同軸ケーブルは合計で2個あればいいが、長さ調節のために大小2つずつ準備</t>
        </is>
      </c>
    </row>
    <row r="8">
      <c r="A8" s="45" t="inlineStr">
        <is>
          <t>マイクロ波システム</t>
        </is>
      </c>
      <c r="B8" s="45" t="inlineStr">
        <is>
          <t>SMA同軸ケーブル（長さ1219mm）</t>
        </is>
      </c>
      <c r="C8" s="45" t="inlineStr">
        <is>
          <t>Thorlabs</t>
        </is>
      </c>
      <c r="D8" s="45" t="inlineStr">
        <is>
          <t>CA1219</t>
        </is>
      </c>
      <c r="E8" s="46" t="n">
        <v>2</v>
      </c>
      <c r="F8" s="46" t="inlineStr">
        <is>
          <t>要見積</t>
        </is>
      </c>
      <c r="G8" s="45">
        <f>IF(ISNUMBER(F8),E8*F8,"")</f>
        <v/>
      </c>
      <c r="H8" s="45" t="n"/>
      <c r="I8" s="45" t="inlineStr"/>
    </row>
    <row r="9">
      <c r="A9" s="45" t="inlineStr">
        <is>
          <t>マイクロ波システム</t>
        </is>
      </c>
      <c r="B9" s="45" t="inlineStr">
        <is>
          <t>アンプ用DC電源</t>
        </is>
      </c>
      <c r="C9" s="45" t="inlineStr">
        <is>
          <t xml:space="preserve">Kikusui </t>
        </is>
      </c>
      <c r="D9" s="45" t="inlineStr">
        <is>
          <t>PWR401L</t>
        </is>
      </c>
      <c r="E9" s="46" t="n">
        <v>1</v>
      </c>
      <c r="F9" s="46" t="inlineStr">
        <is>
          <t>要見積</t>
        </is>
      </c>
      <c r="G9" s="45">
        <f>IF(ISNUMBER(F9),E9*F9,"")</f>
        <v/>
      </c>
      <c r="H9" s="45" t="n"/>
      <c r="I9" s="45" t="inlineStr"/>
    </row>
    <row r="10">
      <c r="A10" s="45" t="inlineStr">
        <is>
          <t>マイクロ波システム</t>
        </is>
      </c>
      <c r="B10" s="45" t="inlineStr">
        <is>
          <t>導波管サーキュレータ</t>
        </is>
      </c>
      <c r="C10" s="45" t="inlineStr">
        <is>
          <t>Pasternack</t>
        </is>
      </c>
      <c r="D10" s="45" t="inlineStr">
        <is>
          <t>PE8401</t>
        </is>
      </c>
      <c r="E10" s="46" t="n">
        <v>1</v>
      </c>
      <c r="F10" s="46" t="inlineStr">
        <is>
          <t>要見積</t>
        </is>
      </c>
      <c r="G10" s="45">
        <f>IF(ISNUMBER(F10),E10*F10,"")</f>
        <v/>
      </c>
      <c r="H10" s="45" t="n"/>
      <c r="I10" s="45" t="inlineStr"/>
    </row>
    <row r="11">
      <c r="A11" s="45" t="inlineStr">
        <is>
          <t>マイクロ波システム</t>
        </is>
      </c>
      <c r="B11" s="45" t="inlineStr">
        <is>
          <t>導波管ターミネータ</t>
        </is>
      </c>
      <c r="C11" s="45" t="inlineStr">
        <is>
          <t>Mini-Circuits</t>
        </is>
      </c>
      <c r="D11" s="45" t="inlineStr">
        <is>
          <t>ANNE-50+</t>
        </is>
      </c>
      <c r="E11" s="46" t="n">
        <v>1</v>
      </c>
      <c r="F11" s="46" t="inlineStr">
        <is>
          <t>要見積</t>
        </is>
      </c>
      <c r="G11" s="45">
        <f>IF(ISNUMBER(F11),E11*F11,"")</f>
        <v/>
      </c>
      <c r="H11" s="45" t="n"/>
      <c r="I11" s="45" t="inlineStr"/>
    </row>
    <row r="12">
      <c r="A12" s="45" t="inlineStr">
        <is>
          <t>マイクロ波システム</t>
        </is>
      </c>
      <c r="B12" s="45" t="inlineStr">
        <is>
          <t>はんだごて</t>
        </is>
      </c>
      <c r="C12" s="45" t="n"/>
      <c r="D12" s="45" t="n"/>
      <c r="E12" s="46" t="n">
        <v>1</v>
      </c>
      <c r="F12" s="46" t="inlineStr">
        <is>
          <t>要見積</t>
        </is>
      </c>
      <c r="G12" s="45">
        <f>IF(ISNUMBER(F12),E12*F12,"")</f>
        <v/>
      </c>
      <c r="H12" s="45" t="n"/>
      <c r="I12" s="45" t="inlineStr">
        <is>
          <t>型番未確定：発注前に確定</t>
        </is>
      </c>
    </row>
    <row r="13">
      <c r="A13" s="45" t="inlineStr">
        <is>
          <t>マイクロ波システム</t>
        </is>
      </c>
      <c r="B13" s="45" t="inlineStr">
        <is>
          <t>テープ</t>
        </is>
      </c>
      <c r="C13" s="45" t="n"/>
      <c r="D13" s="45" t="n"/>
      <c r="E13" s="46" t="n"/>
      <c r="F13" s="46" t="inlineStr">
        <is>
          <t>要見積</t>
        </is>
      </c>
      <c r="G13" s="45">
        <f>IF(ISNUMBER(F13),E13*F13,"")</f>
        <v/>
      </c>
      <c r="H13" s="45" t="n"/>
      <c r="I13" s="45" t="inlineStr">
        <is>
          <t>型番未確定：発注前に確定</t>
        </is>
      </c>
    </row>
    <row r="14">
      <c r="A14" s="45" t="inlineStr">
        <is>
          <t>光学システム</t>
        </is>
      </c>
      <c r="B14" s="45" t="inlineStr">
        <is>
          <t>ミラー</t>
        </is>
      </c>
      <c r="C14" s="45" t="inlineStr">
        <is>
          <t>Thorlabs</t>
        </is>
      </c>
      <c r="D14" s="45" t="inlineStr">
        <is>
          <t>BB1-E02</t>
        </is>
      </c>
      <c r="E14" s="46" t="n">
        <v>5</v>
      </c>
      <c r="F14" s="46" t="inlineStr">
        <is>
          <t>要見積</t>
        </is>
      </c>
      <c r="G14" s="45">
        <f>IF(ISNUMBER(F14),E14*F14,"")</f>
        <v/>
      </c>
      <c r="H14" s="45" t="n"/>
      <c r="I14" s="45" t="inlineStr"/>
    </row>
    <row r="15">
      <c r="A15" s="45" t="inlineStr">
        <is>
          <t>光学システム</t>
        </is>
      </c>
      <c r="B15" s="45" t="inlineStr">
        <is>
          <t>広視野ODMR用平凸レンズ</t>
        </is>
      </c>
      <c r="C15" s="45" t="inlineStr">
        <is>
          <t>Thorlabs</t>
        </is>
      </c>
      <c r="D15" s="45" t="inlineStr">
        <is>
          <t>LA1509-A</t>
        </is>
      </c>
      <c r="E15" s="46" t="n">
        <v>1</v>
      </c>
      <c r="F15" s="46" t="inlineStr">
        <is>
          <t>要見積</t>
        </is>
      </c>
      <c r="G15" s="45">
        <f>IF(ISNUMBER(F15),E15*F15,"")</f>
        <v/>
      </c>
      <c r="H15" s="45" t="n"/>
      <c r="I15" s="45" t="inlineStr">
        <is>
          <t>焦点距離は光学配置に依存</t>
        </is>
      </c>
    </row>
    <row r="16">
      <c r="A16" s="45" t="inlineStr">
        <is>
          <t>光学システム</t>
        </is>
      </c>
      <c r="B16" s="45" t="inlineStr">
        <is>
          <t>ステージ</t>
        </is>
      </c>
      <c r="C16" s="45" t="inlineStr">
        <is>
          <t>シグマ光機</t>
        </is>
      </c>
      <c r="D16" s="45" t="inlineStr">
        <is>
          <t>NTSD-405C</t>
        </is>
      </c>
      <c r="E16" s="46" t="n">
        <v>1</v>
      </c>
      <c r="F16" s="46" t="inlineStr">
        <is>
          <t>要見積</t>
        </is>
      </c>
      <c r="G16" s="45">
        <f>IF(ISNUMBER(F16),E16*F16,"")</f>
        <v/>
      </c>
      <c r="H16" s="45" t="n"/>
      <c r="I16" s="45" t="inlineStr"/>
    </row>
    <row r="17">
      <c r="A17" s="45" t="inlineStr">
        <is>
          <t>光学システム</t>
        </is>
      </c>
      <c r="B17" s="45" t="inlineStr">
        <is>
          <t>DAC固定器具</t>
        </is>
      </c>
      <c r="C17" s="45" t="inlineStr">
        <is>
          <t>シグマ光機</t>
        </is>
      </c>
      <c r="D17" s="45" t="inlineStr">
        <is>
          <t>不明</t>
        </is>
      </c>
      <c r="E17" s="46" t="n">
        <v>1</v>
      </c>
      <c r="F17" s="46" t="inlineStr">
        <is>
          <t>要見積</t>
        </is>
      </c>
      <c r="G17" s="45">
        <f>IF(ISNUMBER(F17),E17*F17,"")</f>
        <v/>
      </c>
      <c r="H17" s="45" t="n"/>
      <c r="I17" s="45" t="inlineStr"/>
    </row>
    <row r="18">
      <c r="A18" s="45" t="inlineStr">
        <is>
          <t>光学システム</t>
        </is>
      </c>
      <c r="B18" s="45" t="inlineStr">
        <is>
          <t>ステージの治具</t>
        </is>
      </c>
      <c r="C18" s="45" t="inlineStr">
        <is>
          <t>ミスミ</t>
        </is>
      </c>
      <c r="D18" s="45" t="inlineStr">
        <is>
          <t>オーダーメイド</t>
        </is>
      </c>
      <c r="E18" s="46" t="n">
        <v>1</v>
      </c>
      <c r="F18" s="46" t="inlineStr">
        <is>
          <t>要見積</t>
        </is>
      </c>
      <c r="G18" s="45">
        <f>IF(ISNUMBER(F18),E18*F18,"")</f>
        <v/>
      </c>
      <c r="H18" s="45" t="n"/>
      <c r="I18" s="45" t="inlineStr"/>
    </row>
    <row r="19">
      <c r="A19" s="45" t="inlineStr">
        <is>
          <t>光学システム</t>
        </is>
      </c>
      <c r="B19" s="45" t="inlineStr">
        <is>
          <t>落射照明用マウント付きLED</t>
        </is>
      </c>
      <c r="C19" s="45" t="inlineStr">
        <is>
          <t>Thorlabs</t>
        </is>
      </c>
      <c r="D19" s="45" t="inlineStr">
        <is>
          <t>M660L4</t>
        </is>
      </c>
      <c r="E19" s="46" t="n">
        <v>1</v>
      </c>
      <c r="F19" s="46" t="inlineStr">
        <is>
          <t>要見積</t>
        </is>
      </c>
      <c r="G19" s="45">
        <f>IF(ISNUMBER(F19),E19*F19,"")</f>
        <v/>
      </c>
      <c r="H19" s="45" t="n"/>
      <c r="I19" s="45" t="inlineStr"/>
    </row>
    <row r="20">
      <c r="A20" s="45" t="inlineStr">
        <is>
          <t>光学システム</t>
        </is>
      </c>
      <c r="B20" s="45" t="inlineStr">
        <is>
          <t>コリメーションアダプター</t>
        </is>
      </c>
      <c r="C20" s="45" t="inlineStr">
        <is>
          <t>Thorlabs</t>
        </is>
      </c>
      <c r="D20" s="45" t="inlineStr">
        <is>
          <t>SM1U25-A</t>
        </is>
      </c>
      <c r="E20" s="46" t="n">
        <v>1</v>
      </c>
      <c r="F20" s="46" t="inlineStr">
        <is>
          <t>要見積</t>
        </is>
      </c>
      <c r="G20" s="45">
        <f>IF(ISNUMBER(F20),E20*F20,"")</f>
        <v/>
      </c>
      <c r="H20" s="45" t="n"/>
      <c r="I20" s="45" t="inlineStr"/>
    </row>
    <row r="21">
      <c r="A21" s="45" t="inlineStr">
        <is>
          <t>光学システム</t>
        </is>
      </c>
      <c r="B21" s="45" t="inlineStr">
        <is>
          <t>LEDドライバー</t>
        </is>
      </c>
      <c r="C21" s="45" t="inlineStr">
        <is>
          <t>Thorlabs</t>
        </is>
      </c>
      <c r="D21" s="45" t="inlineStr">
        <is>
          <t>LEDD1B</t>
        </is>
      </c>
      <c r="E21" s="46" t="n">
        <v>1</v>
      </c>
      <c r="F21" s="46" t="inlineStr">
        <is>
          <t>要見積</t>
        </is>
      </c>
      <c r="G21" s="45">
        <f>IF(ISNUMBER(F21),E21*F21,"")</f>
        <v/>
      </c>
      <c r="H21" s="45" t="n"/>
      <c r="I21" s="45" t="inlineStr"/>
    </row>
    <row r="22">
      <c r="A22" s="45" t="inlineStr">
        <is>
          <t>光学システム</t>
        </is>
      </c>
      <c r="B22" s="45" t="inlineStr">
        <is>
          <t>LEDドライバー用電源</t>
        </is>
      </c>
      <c r="C22" s="45" t="inlineStr">
        <is>
          <t>Thorlabs</t>
        </is>
      </c>
      <c r="D22" s="45" t="inlineStr">
        <is>
          <t>KPS201</t>
        </is>
      </c>
      <c r="E22" s="46" t="n">
        <v>1</v>
      </c>
      <c r="F22" s="46" t="inlineStr">
        <is>
          <t>要見積</t>
        </is>
      </c>
      <c r="G22" s="45">
        <f>IF(ISNUMBER(F22),E22*F22,"")</f>
        <v/>
      </c>
      <c r="H22" s="45" t="n"/>
      <c r="I22" s="45" t="inlineStr"/>
    </row>
    <row r="23">
      <c r="A23" s="45" t="inlineStr">
        <is>
          <t>光学システム</t>
        </is>
      </c>
      <c r="B23" s="45" t="inlineStr">
        <is>
          <t>クランプフォーク</t>
        </is>
      </c>
      <c r="C23" s="45" t="inlineStr">
        <is>
          <t>Thorlabs</t>
        </is>
      </c>
      <c r="D23" s="45" t="inlineStr">
        <is>
          <t>CF038</t>
        </is>
      </c>
      <c r="E23" s="46" t="n">
        <v>4</v>
      </c>
      <c r="F23" s="46" t="inlineStr">
        <is>
          <t>要見積</t>
        </is>
      </c>
      <c r="G23" s="45">
        <f>IF(ISNUMBER(F23),E23*F23,"")</f>
        <v/>
      </c>
      <c r="H23" s="45" t="n"/>
      <c r="I23" s="45" t="inlineStr"/>
    </row>
    <row r="24">
      <c r="A24" s="45" t="inlineStr">
        <is>
          <t>光学システム</t>
        </is>
      </c>
      <c r="B24" s="45" t="inlineStr">
        <is>
          <t>クランプフォーク</t>
        </is>
      </c>
      <c r="C24" s="45" t="inlineStr">
        <is>
          <t>Thorlabs</t>
        </is>
      </c>
      <c r="D24" s="45" t="inlineStr">
        <is>
          <t>CF175</t>
        </is>
      </c>
      <c r="E24" s="46" t="n">
        <v>12</v>
      </c>
      <c r="F24" s="46" t="inlineStr">
        <is>
          <t>要見積</t>
        </is>
      </c>
      <c r="G24" s="45">
        <f>IF(ISNUMBER(F24),E24*F24,"")</f>
        <v/>
      </c>
      <c r="H24" s="45" t="n"/>
      <c r="I24" s="45" t="inlineStr"/>
    </row>
    <row r="25">
      <c r="A25" s="45" t="inlineStr">
        <is>
          <t>光学システム</t>
        </is>
      </c>
      <c r="B25" s="45" t="inlineStr">
        <is>
          <t>ベース</t>
        </is>
      </c>
      <c r="C25" s="45" t="inlineStr">
        <is>
          <t>Thorlabs</t>
        </is>
      </c>
      <c r="D25" s="45" t="inlineStr">
        <is>
          <t>BE1/M</t>
        </is>
      </c>
      <c r="E25" s="46" t="n">
        <v>12</v>
      </c>
      <c r="F25" s="46" t="inlineStr">
        <is>
          <t>要見積</t>
        </is>
      </c>
      <c r="G25" s="45">
        <f>IF(ISNUMBER(F25),E25*F25,"")</f>
        <v/>
      </c>
      <c r="H25" s="45" t="n"/>
      <c r="I25" s="45" t="inlineStr"/>
    </row>
    <row r="26">
      <c r="A26" s="45" t="inlineStr">
        <is>
          <t>光学システム</t>
        </is>
      </c>
      <c r="B26" s="45" t="inlineStr">
        <is>
          <t>ホルダー</t>
        </is>
      </c>
      <c r="C26" s="45" t="inlineStr">
        <is>
          <t>Thorlabs</t>
        </is>
      </c>
      <c r="D26" s="45" t="inlineStr">
        <is>
          <t>PH30/M</t>
        </is>
      </c>
      <c r="E26" s="46" t="n">
        <v>4</v>
      </c>
      <c r="F26" s="46" t="inlineStr">
        <is>
          <t>要見積</t>
        </is>
      </c>
      <c r="G26" s="45">
        <f>IF(ISNUMBER(F26),E26*F26,"")</f>
        <v/>
      </c>
      <c r="H26" s="45" t="n"/>
      <c r="I26" s="45" t="inlineStr"/>
    </row>
    <row r="27">
      <c r="A27" s="45" t="inlineStr">
        <is>
          <t>光学システム</t>
        </is>
      </c>
      <c r="B27" s="45" t="inlineStr">
        <is>
          <t>ホルダー</t>
        </is>
      </c>
      <c r="C27" s="45" t="inlineStr">
        <is>
          <t>Thorlabs</t>
        </is>
      </c>
      <c r="D27" s="45" t="inlineStr">
        <is>
          <t>PH50/M</t>
        </is>
      </c>
      <c r="E27" s="46" t="n">
        <v>8</v>
      </c>
      <c r="F27" s="46" t="inlineStr">
        <is>
          <t>要見積</t>
        </is>
      </c>
      <c r="G27" s="45">
        <f>IF(ISNUMBER(F27),E27*F27,"")</f>
        <v/>
      </c>
      <c r="H27" s="45" t="n"/>
      <c r="I27" s="45" t="inlineStr"/>
    </row>
    <row r="28">
      <c r="A28" s="45" t="inlineStr">
        <is>
          <t>光学システム</t>
        </is>
      </c>
      <c r="B28" s="45" t="inlineStr">
        <is>
          <t>ポスト</t>
        </is>
      </c>
      <c r="C28" s="45" t="inlineStr">
        <is>
          <t>Thorlabs</t>
        </is>
      </c>
      <c r="D28" s="45" t="inlineStr">
        <is>
          <t>TR75/M</t>
        </is>
      </c>
      <c r="E28" s="46" t="n">
        <v>4</v>
      </c>
      <c r="F28" s="46" t="inlineStr">
        <is>
          <t>要見積</t>
        </is>
      </c>
      <c r="G28" s="45">
        <f>IF(ISNUMBER(F28),E28*F28,"")</f>
        <v/>
      </c>
      <c r="H28" s="45" t="n"/>
      <c r="I28" s="45" t="inlineStr"/>
    </row>
    <row r="29">
      <c r="A29" s="45" t="inlineStr">
        <is>
          <t>光学システム</t>
        </is>
      </c>
      <c r="B29" s="45" t="inlineStr">
        <is>
          <t>ポスト</t>
        </is>
      </c>
      <c r="C29" s="45" t="inlineStr">
        <is>
          <t>Thorlabs</t>
        </is>
      </c>
      <c r="D29" s="45" t="inlineStr">
        <is>
          <t>TR100/M</t>
        </is>
      </c>
      <c r="E29" s="46" t="n">
        <v>8</v>
      </c>
      <c r="F29" s="46" t="inlineStr">
        <is>
          <t>要見積</t>
        </is>
      </c>
      <c r="G29" s="45">
        <f>IF(ISNUMBER(F29),E29*F29,"")</f>
        <v/>
      </c>
      <c r="H29" s="45" t="n"/>
      <c r="I29" s="45" t="inlineStr"/>
    </row>
    <row r="30">
      <c r="A30" s="45" t="inlineStr">
        <is>
          <t>光学システム</t>
        </is>
      </c>
      <c r="B30" s="45" t="inlineStr">
        <is>
          <t>ミラーマウント</t>
        </is>
      </c>
      <c r="C30" s="45" t="inlineStr">
        <is>
          <t>Thorlabs</t>
        </is>
      </c>
      <c r="D30" s="45" t="inlineStr">
        <is>
          <t>KM100</t>
        </is>
      </c>
      <c r="E30" s="46" t="n">
        <v>4</v>
      </c>
      <c r="F30" s="46" t="inlineStr">
        <is>
          <t>要見積</t>
        </is>
      </c>
      <c r="G30" s="45">
        <f>IF(ISNUMBER(F30),E30*F30,"")</f>
        <v/>
      </c>
      <c r="H30" s="45" t="n"/>
      <c r="I30" s="45" t="inlineStr"/>
    </row>
    <row r="31">
      <c r="A31" s="45" t="inlineStr">
        <is>
          <t>光学システム</t>
        </is>
      </c>
      <c r="B31" s="45" t="inlineStr">
        <is>
          <t>ミラーマウント</t>
        </is>
      </c>
      <c r="C31" s="45" t="inlineStr">
        <is>
          <t>Thorlabs</t>
        </is>
      </c>
      <c r="D31" s="45" t="inlineStr">
        <is>
          <t>LMR1/M</t>
        </is>
      </c>
      <c r="E31" s="46" t="n">
        <v>2</v>
      </c>
      <c r="F31" s="46" t="inlineStr">
        <is>
          <t>要見積</t>
        </is>
      </c>
      <c r="G31" s="45">
        <f>IF(ISNUMBER(F31),E31*F31,"")</f>
        <v/>
      </c>
      <c r="H31" s="45" t="n"/>
      <c r="I31" s="45" t="inlineStr"/>
    </row>
    <row r="32">
      <c r="A32" s="45" t="inlineStr">
        <is>
          <t>光学システム</t>
        </is>
      </c>
      <c r="B32" s="45" t="inlineStr">
        <is>
          <t>ケージプレート</t>
        </is>
      </c>
      <c r="C32" s="45" t="inlineStr">
        <is>
          <t>Thorlabs</t>
        </is>
      </c>
      <c r="D32" s="45" t="inlineStr">
        <is>
          <t>CP33/M</t>
        </is>
      </c>
      <c r="E32" s="46" t="n">
        <v>1</v>
      </c>
      <c r="F32" s="46" t="inlineStr">
        <is>
          <t>要見積</t>
        </is>
      </c>
      <c r="G32" s="45">
        <f>IF(ISNUMBER(F32),E32*F32,"")</f>
        <v/>
      </c>
      <c r="H32" s="45" t="n"/>
      <c r="I32" s="45" t="inlineStr"/>
    </row>
    <row r="33">
      <c r="A33" s="45" t="inlineStr">
        <is>
          <t>光学システム</t>
        </is>
      </c>
      <c r="B33" s="45" t="inlineStr">
        <is>
          <t>ケージキューブ</t>
        </is>
      </c>
      <c r="C33" s="45" t="inlineStr">
        <is>
          <t>Thorlabs</t>
        </is>
      </c>
      <c r="D33" s="45" t="inlineStr">
        <is>
          <t>CM1-DCH/M</t>
        </is>
      </c>
      <c r="E33" s="46" t="n">
        <v>2</v>
      </c>
      <c r="F33" s="46" t="inlineStr">
        <is>
          <t>要見積</t>
        </is>
      </c>
      <c r="G33" s="45">
        <f>IF(ISNUMBER(F33),E33*F33,"")</f>
        <v/>
      </c>
      <c r="H33" s="45" t="n"/>
      <c r="I33" s="45" t="inlineStr"/>
    </row>
    <row r="34">
      <c r="A34" s="45" t="inlineStr">
        <is>
          <t>光学システム</t>
        </is>
      </c>
      <c r="B34" s="45" t="inlineStr">
        <is>
          <t>ケージアセンブリロッド</t>
        </is>
      </c>
      <c r="C34" s="45" t="inlineStr">
        <is>
          <t>Thorlabs</t>
        </is>
      </c>
      <c r="D34" s="45" t="inlineStr">
        <is>
          <t>ER3</t>
        </is>
      </c>
      <c r="E34" s="46" t="n">
        <v>10</v>
      </c>
      <c r="F34" s="46" t="inlineStr">
        <is>
          <t>要見積</t>
        </is>
      </c>
      <c r="G34" s="45">
        <f>IF(ISNUMBER(F34),E34*F34,"")</f>
        <v/>
      </c>
      <c r="H34" s="45" t="n"/>
      <c r="I34" s="45" t="inlineStr"/>
    </row>
    <row r="35">
      <c r="A35" s="45" t="inlineStr">
        <is>
          <t>光学システム</t>
        </is>
      </c>
      <c r="B35" s="45" t="inlineStr">
        <is>
          <t>アイリス</t>
        </is>
      </c>
      <c r="C35" s="45" t="inlineStr">
        <is>
          <t>Thorlabs</t>
        </is>
      </c>
      <c r="D35" s="45" t="n"/>
      <c r="E35" s="46" t="n">
        <v>4</v>
      </c>
      <c r="F35" s="46" t="inlineStr">
        <is>
          <t>要見積</t>
        </is>
      </c>
      <c r="G35" s="45">
        <f>IF(ISNUMBER(F35),E35*F35,"")</f>
        <v/>
      </c>
      <c r="H35" s="45" t="n"/>
      <c r="I35" s="45" t="inlineStr">
        <is>
          <t>型番未確定：発注前に確定</t>
        </is>
      </c>
    </row>
    <row r="36">
      <c r="A36" s="45" t="inlineStr">
        <is>
          <t>光学システム</t>
        </is>
      </c>
      <c r="B36" s="45" t="inlineStr">
        <is>
          <t>チューブ</t>
        </is>
      </c>
      <c r="C36" s="45" t="n"/>
      <c r="D36" s="45" t="n"/>
      <c r="E36" s="46" t="n">
        <v>1</v>
      </c>
      <c r="F36" s="46" t="inlineStr">
        <is>
          <t>要見積</t>
        </is>
      </c>
      <c r="G36" s="45">
        <f>IF(ISNUMBER(F36),E36*F36,"")</f>
        <v/>
      </c>
      <c r="H36" s="45" t="n"/>
      <c r="I36" s="45" t="inlineStr">
        <is>
          <t>cMOSとレンズマウントの接続用 / 型番未確定：発注前に確定</t>
        </is>
      </c>
    </row>
    <row r="37">
      <c r="A37" s="45" t="inlineStr">
        <is>
          <t>光学システム</t>
        </is>
      </c>
      <c r="B37" s="45" t="inlineStr">
        <is>
          <t>チューブ</t>
        </is>
      </c>
      <c r="C37" s="45" t="n"/>
      <c r="D37" s="45" t="n"/>
      <c r="E37" s="46" t="n">
        <v>1</v>
      </c>
      <c r="F37" s="46" t="inlineStr">
        <is>
          <t>要見積</t>
        </is>
      </c>
      <c r="G37" s="45">
        <f>IF(ISNUMBER(F37),E37*F37,"")</f>
        <v/>
      </c>
      <c r="H37" s="45" t="n"/>
      <c r="I37" s="45" t="inlineStr">
        <is>
          <t>LEDコリメータとケージの接続用 / 型番未確定：発注前に確定</t>
        </is>
      </c>
    </row>
    <row r="38">
      <c r="A38" s="45" t="inlineStr">
        <is>
          <t>光学システム</t>
        </is>
      </c>
      <c r="B38" s="45" t="inlineStr">
        <is>
          <t>六角レンチ（各サイズ）</t>
        </is>
      </c>
      <c r="C38" s="45" t="n"/>
      <c r="D38" s="45" t="n"/>
      <c r="E38" s="46" t="n"/>
      <c r="F38" s="46" t="inlineStr">
        <is>
          <t>要見積</t>
        </is>
      </c>
      <c r="G38" s="45">
        <f>IF(ISNUMBER(F38),E38*F38,"")</f>
        <v/>
      </c>
      <c r="H38" s="45" t="n"/>
      <c r="I38" s="45" t="inlineStr">
        <is>
          <t>型番未確定：発注前に確定</t>
        </is>
      </c>
    </row>
    <row r="39">
      <c r="A39" s="45" t="inlineStr">
        <is>
          <t>光学システム</t>
        </is>
      </c>
      <c r="B39" s="45" t="inlineStr">
        <is>
          <t>柱</t>
        </is>
      </c>
      <c r="C39" s="45" t="n"/>
      <c r="D39" s="45" t="n"/>
      <c r="E39" s="46" t="n"/>
      <c r="F39" s="46" t="inlineStr">
        <is>
          <t>要見積</t>
        </is>
      </c>
      <c r="G39" s="45">
        <f>IF(ISNUMBER(F39),E39*F39,"")</f>
        <v/>
      </c>
      <c r="H39" s="45" t="n"/>
      <c r="I39" s="45" t="inlineStr">
        <is>
          <t>型番未確定：発注前に確定</t>
        </is>
      </c>
    </row>
    <row r="40">
      <c r="A40" s="45" t="inlineStr">
        <is>
          <t>光学システム</t>
        </is>
      </c>
      <c r="B40" s="45" t="inlineStr">
        <is>
          <t>黒い板</t>
        </is>
      </c>
      <c r="C40" s="45" t="n"/>
      <c r="D40" s="45" t="n"/>
      <c r="E40" s="46" t="n"/>
      <c r="F40" s="46" t="inlineStr">
        <is>
          <t>要見積</t>
        </is>
      </c>
      <c r="G40" s="45">
        <f>IF(ISNUMBER(F40),E40*F40,"")</f>
        <v/>
      </c>
      <c r="H40" s="45" t="n"/>
      <c r="I40" s="45" t="inlineStr">
        <is>
          <t>型番未確定：発注前に確定</t>
        </is>
      </c>
    </row>
    <row r="41">
      <c r="D41" s="55" t="inlineStr">
        <is>
          <t>合計</t>
        </is>
      </c>
      <c r="G41" s="61">
        <f>SUM(G6:G40)</f>
        <v/>
      </c>
    </row>
    <row r="44">
      <c r="A44" s="60" t="inlineStr">
        <is>
          <t>B. 借用品（太田研・荒井研）— 購入品ではないため買い直しの要否は要調整</t>
        </is>
      </c>
    </row>
    <row r="45">
      <c r="A45" s="44" t="inlineStr">
        <is>
          <t>システム</t>
        </is>
      </c>
      <c r="B45" s="44" t="inlineStr">
        <is>
          <t>アイテム名</t>
        </is>
      </c>
      <c r="C45" s="44" t="inlineStr">
        <is>
          <t>メーカー</t>
        </is>
      </c>
      <c r="D45" s="44" t="inlineStr">
        <is>
          <t>型番</t>
        </is>
      </c>
      <c r="E45" s="44" t="inlineStr">
        <is>
          <t>数量</t>
        </is>
      </c>
      <c r="F45" s="44" t="inlineStr">
        <is>
          <t>概算単価(円)</t>
        </is>
      </c>
      <c r="G45" s="44" t="inlineStr">
        <is>
          <t>小計(円)</t>
        </is>
      </c>
      <c r="H45" s="44" t="inlineStr">
        <is>
          <t>購入先</t>
        </is>
      </c>
      <c r="I45" s="44" t="inlineStr">
        <is>
          <t>備考</t>
        </is>
      </c>
    </row>
    <row r="46">
      <c r="A46" s="45" t="inlineStr">
        <is>
          <t>DACシステム</t>
        </is>
      </c>
      <c r="B46" s="45" t="inlineStr">
        <is>
          <t>NV注入ダイヤモンドアンビル</t>
        </is>
      </c>
      <c r="C46" s="45" t="inlineStr">
        <is>
          <t>-</t>
        </is>
      </c>
      <c r="D46" s="45" t="inlineStr">
        <is>
          <t>-</t>
        </is>
      </c>
      <c r="E46" s="46" t="n">
        <v>2</v>
      </c>
      <c r="F46" s="46" t="inlineStr">
        <is>
          <t>要見積</t>
        </is>
      </c>
      <c r="G46" s="45" t="n"/>
      <c r="H46" s="45" t="n"/>
      <c r="I46" s="45" t="inlineStr">
        <is>
          <t>太田研から2個 / 借用品・手荷物で持参</t>
        </is>
      </c>
    </row>
    <row r="47">
      <c r="A47" s="45" t="inlineStr">
        <is>
          <t>DACシステム</t>
        </is>
      </c>
      <c r="B47" s="45" t="inlineStr">
        <is>
          <t>対向ダイヤモンドアンビル</t>
        </is>
      </c>
      <c r="C47" s="45" t="n"/>
      <c r="D47" s="45" t="n"/>
      <c r="E47" s="46" t="n">
        <v>2</v>
      </c>
      <c r="F47" s="46" t="inlineStr">
        <is>
          <t>要見積</t>
        </is>
      </c>
      <c r="G47" s="45" t="n"/>
      <c r="H47" s="45" t="n"/>
      <c r="I47" s="45" t="inlineStr">
        <is>
          <t>太田研から2個、（荒井研から1個） / 借用品・手荷物で持参</t>
        </is>
      </c>
    </row>
    <row r="48">
      <c r="A48" s="45" t="inlineStr">
        <is>
          <t>DACシステム</t>
        </is>
      </c>
      <c r="B48" s="45" t="inlineStr">
        <is>
          <t>ベリリウム銅DAC</t>
        </is>
      </c>
      <c r="C48" s="45" t="inlineStr">
        <is>
          <t>-</t>
        </is>
      </c>
      <c r="D48" s="45" t="inlineStr">
        <is>
          <t>-</t>
        </is>
      </c>
      <c r="E48" s="46" t="n">
        <v>2</v>
      </c>
      <c r="F48" s="46" t="inlineStr">
        <is>
          <t>要見積</t>
        </is>
      </c>
      <c r="G48" s="45" t="n"/>
      <c r="H48" s="45" t="n"/>
      <c r="I48" s="45" t="inlineStr">
        <is>
          <t>荒井研から1個、太田研から1個 / 借用品・手荷物で持参</t>
        </is>
      </c>
    </row>
    <row r="51">
      <c r="A51" s="60" t="inlineStr">
        <is>
          <t>C. 現地調達を推奨（買い直し不要）</t>
        </is>
      </c>
    </row>
    <row r="52">
      <c r="B52" t="inlineStr">
        <is>
          <t>アラルダイト</t>
        </is>
      </c>
      <c r="I52" t="inlineStr">
        <is>
          <t>現地調達（ドイツで同等品を購入）</t>
        </is>
      </c>
    </row>
    <row r="53">
      <c r="B53" t="inlineStr">
        <is>
          <t>はんだごて</t>
        </is>
      </c>
      <c r="I53" t="inlineStr">
        <is>
          <t>発送（または現地調達。230V対応品の方が確実）</t>
        </is>
      </c>
    </row>
    <row r="54">
      <c r="B54" t="inlineStr">
        <is>
          <t>広視野ODMR用平凸レンズ</t>
        </is>
      </c>
      <c r="I54" t="inlineStr">
        <is>
          <t>発送（または現地調達）</t>
        </is>
      </c>
    </row>
    <row r="55">
      <c r="B55" t="inlineStr">
        <is>
          <t>六角レンチ（各サイズ）</t>
        </is>
      </c>
      <c r="I55" t="inlineStr">
        <is>
          <t>発送（現地調達も容易）</t>
        </is>
      </c>
    </row>
    <row r="56">
      <c r="B56" t="inlineStr">
        <is>
          <t>柱</t>
        </is>
      </c>
      <c r="I56" t="inlineStr">
        <is>
          <t>発送（または現地調達）</t>
        </is>
      </c>
    </row>
    <row r="57">
      <c r="B57" t="inlineStr">
        <is>
          <t>黒い板</t>
        </is>
      </c>
      <c r="I57" t="inlineStr">
        <is>
          <t>発送（または現地調達）</t>
        </is>
      </c>
    </row>
    <row r="60">
      <c r="A60" s="60" t="inlineStr">
        <is>
          <t>D. 手荷物で持参する品目（日本から送らないため買い直し対象外・参考掲載）</t>
        </is>
      </c>
    </row>
    <row r="61">
      <c r="A61" s="44" t="inlineStr">
        <is>
          <t>システム</t>
        </is>
      </c>
      <c r="B61" s="44" t="inlineStr">
        <is>
          <t>アイテム名</t>
        </is>
      </c>
      <c r="C61" s="44" t="inlineStr">
        <is>
          <t>メーカー</t>
        </is>
      </c>
      <c r="D61" s="44" t="inlineStr">
        <is>
          <t>型番</t>
        </is>
      </c>
      <c r="E61" s="44" t="inlineStr">
        <is>
          <t>数量</t>
        </is>
      </c>
      <c r="F61" s="44" t="inlineStr">
        <is>
          <t>概算単価(円)</t>
        </is>
      </c>
      <c r="G61" s="44" t="inlineStr">
        <is>
          <t>小計(円)</t>
        </is>
      </c>
      <c r="H61" s="44" t="inlineStr">
        <is>
          <t>購入先</t>
        </is>
      </c>
      <c r="I61" s="44" t="inlineStr">
        <is>
          <t>備考</t>
        </is>
      </c>
    </row>
    <row r="62">
      <c r="A62" s="45" t="inlineStr">
        <is>
          <t>DACシステム</t>
        </is>
      </c>
      <c r="B62" s="45" t="inlineStr">
        <is>
          <t>ジルコニア台座</t>
        </is>
      </c>
      <c r="C62" s="45" t="n"/>
      <c r="D62" s="45" t="n"/>
      <c r="E62" s="46" t="n">
        <v>2</v>
      </c>
      <c r="F62" s="46" t="inlineStr">
        <is>
          <t>—</t>
        </is>
      </c>
      <c r="G62" s="45" t="n"/>
      <c r="H62" s="45" t="n"/>
      <c r="I62" s="45" t="inlineStr">
        <is>
          <t>ダイヤと一緒に持参</t>
        </is>
      </c>
    </row>
    <row r="63">
      <c r="A63" s="45" t="inlineStr">
        <is>
          <t>DACシステム</t>
        </is>
      </c>
      <c r="B63" s="45" t="inlineStr">
        <is>
          <t>ガスケット</t>
        </is>
      </c>
      <c r="C63" s="45" t="n"/>
      <c r="D63" s="45" t="n"/>
      <c r="E63" s="46" t="inlineStr">
        <is>
          <t>2，3</t>
        </is>
      </c>
      <c r="F63" s="46" t="inlineStr">
        <is>
          <t>—</t>
        </is>
      </c>
      <c r="G63" s="45" t="n"/>
      <c r="H63" s="45" t="n"/>
      <c r="I63" s="45" t="inlineStr">
        <is>
          <t>持参（予備を多めに）</t>
        </is>
      </c>
    </row>
    <row r="64">
      <c r="A64" s="45" t="inlineStr">
        <is>
          <t>マイクロ波システム</t>
        </is>
      </c>
      <c r="B64" s="45" t="inlineStr">
        <is>
          <t>白金箔</t>
        </is>
      </c>
      <c r="C64" s="45" t="n"/>
      <c r="D64" s="45" t="inlineStr">
        <is>
          <t>-</t>
        </is>
      </c>
      <c r="E64" s="46" t="n">
        <v>1</v>
      </c>
      <c r="F64" s="46" t="inlineStr">
        <is>
          <t>—</t>
        </is>
      </c>
      <c r="G64" s="45" t="n"/>
      <c r="H64" s="45" t="n"/>
      <c r="I64" s="45" t="inlineStr">
        <is>
          <t>持参（少量・高価のため）</t>
        </is>
      </c>
    </row>
    <row r="65">
      <c r="A65" s="45" t="inlineStr">
        <is>
          <t>マイクロ波システム</t>
        </is>
      </c>
      <c r="B65" s="45" t="inlineStr">
        <is>
          <t>マイクロ波アンプ</t>
        </is>
      </c>
      <c r="C65" s="45" t="inlineStr">
        <is>
          <t>Mini-Circuits</t>
        </is>
      </c>
      <c r="D65" s="45" t="inlineStr">
        <is>
          <t>139-ZHL-16W-43-S</t>
        </is>
      </c>
      <c r="E65" s="46" t="n">
        <v>1</v>
      </c>
      <c r="F65" s="46" t="inlineStr">
        <is>
          <t>—</t>
        </is>
      </c>
      <c r="G65" s="45" t="n"/>
      <c r="H65" s="45" t="n"/>
      <c r="I65" s="45" t="inlineStr">
        <is>
          <t>機内持込を推奨（英文仕様書を携行）</t>
        </is>
      </c>
    </row>
    <row r="66">
      <c r="A66" s="45" t="inlineStr">
        <is>
          <t>マイクロ波システム</t>
        </is>
      </c>
      <c r="B66" s="45" t="inlineStr">
        <is>
          <t>信号発生器 (Signal Generator)</t>
        </is>
      </c>
      <c r="C66" s="45" t="inlineStr">
        <is>
          <t>Windfreak</t>
        </is>
      </c>
      <c r="D66" s="45" t="inlineStr">
        <is>
          <t>SynthHD</t>
        </is>
      </c>
      <c r="E66" s="46" t="n">
        <v>1</v>
      </c>
      <c r="F66" s="46" t="inlineStr">
        <is>
          <t>—</t>
        </is>
      </c>
      <c r="G66" s="45" t="n"/>
      <c r="H66" s="45" t="n"/>
      <c r="I66" s="45" t="inlineStr">
        <is>
          <t>機内持込。該非判定書を最優先で取得し、該当なら輸出許可申請が必要</t>
        </is>
      </c>
    </row>
    <row r="67">
      <c r="A67" s="45" t="inlineStr">
        <is>
          <t>光学システム</t>
        </is>
      </c>
      <c r="B67" s="45" t="inlineStr">
        <is>
          <t>レーザー</t>
        </is>
      </c>
      <c r="C67" s="45" t="inlineStr">
        <is>
          <t>CNI</t>
        </is>
      </c>
      <c r="D67" s="45" t="inlineStr">
        <is>
          <t>MLL-S-532B-300mW</t>
        </is>
      </c>
      <c r="E67" s="46" t="n">
        <v>1</v>
      </c>
      <c r="F67" s="46" t="inlineStr">
        <is>
          <t>—</t>
        </is>
      </c>
      <c r="G67" s="45" t="n"/>
      <c r="H67" s="45" t="n"/>
      <c r="I67" s="45" t="inlineStr">
        <is>
          <t>発注したが届いてない、ハプティクスから借りてる / 機内持込を強く推奨（下記「重要品目メモ」の準備物を揃えること）</t>
        </is>
      </c>
    </row>
    <row r="68">
      <c r="A68" s="45" t="inlineStr">
        <is>
          <t>光学システム</t>
        </is>
      </c>
      <c r="B68" s="45" t="inlineStr">
        <is>
          <t>対物レンズ</t>
        </is>
      </c>
      <c r="C68" s="45" t="inlineStr">
        <is>
          <t>Mitutoyo</t>
        </is>
      </c>
      <c r="D68" s="45" t="inlineStr">
        <is>
          <t>M-PLAN APO SL 10X</t>
        </is>
      </c>
      <c r="E68" s="46" t="n">
        <v>1</v>
      </c>
      <c r="F68" s="46" t="inlineStr">
        <is>
          <t>—</t>
        </is>
      </c>
      <c r="G68" s="45" t="n"/>
      <c r="H68" s="45" t="n"/>
      <c r="I68" s="45" t="inlineStr">
        <is>
          <t>持参</t>
        </is>
      </c>
    </row>
    <row r="69">
      <c r="A69" s="45" t="inlineStr">
        <is>
          <t>光学システム</t>
        </is>
      </c>
      <c r="B69" s="45" t="inlineStr">
        <is>
          <t>ダイクロイックミラー</t>
        </is>
      </c>
      <c r="C69" s="45" t="inlineStr">
        <is>
          <t>Thorlabs</t>
        </is>
      </c>
      <c r="D69" s="45" t="inlineStr">
        <is>
          <t>DMLP567R</t>
        </is>
      </c>
      <c r="E69" s="46" t="n">
        <v>1</v>
      </c>
      <c r="F69" s="46" t="inlineStr">
        <is>
          <t>—</t>
        </is>
      </c>
      <c r="G69" s="45" t="n"/>
      <c r="H69" s="45" t="n"/>
      <c r="I69" s="45" t="inlineStr">
        <is>
          <t>持参</t>
        </is>
      </c>
    </row>
    <row r="70">
      <c r="A70" s="45" t="inlineStr">
        <is>
          <t>光学システム</t>
        </is>
      </c>
      <c r="B70" s="45" t="inlineStr">
        <is>
          <t>ロングパスフィルター？</t>
        </is>
      </c>
      <c r="C70" s="45" t="inlineStr">
        <is>
          <t>Thorlabs</t>
        </is>
      </c>
      <c r="D70" s="45" t="inlineStr">
        <is>
          <t>FELH0650</t>
        </is>
      </c>
      <c r="E70" s="46" t="n">
        <v>1</v>
      </c>
      <c r="F70" s="46" t="inlineStr">
        <is>
          <t>—</t>
        </is>
      </c>
      <c r="G70" s="45" t="n"/>
      <c r="H70" s="45" t="n"/>
      <c r="I70" s="45" t="inlineStr">
        <is>
          <t>持参</t>
        </is>
      </c>
    </row>
    <row r="71">
      <c r="A71" s="45" t="inlineStr">
        <is>
          <t>光学システム</t>
        </is>
      </c>
      <c r="B71" s="45" t="inlineStr">
        <is>
          <t>ビームスプリッター</t>
        </is>
      </c>
      <c r="C71" s="45" t="inlineStr">
        <is>
          <t>Thorlabs</t>
        </is>
      </c>
      <c r="D71" s="45" t="inlineStr">
        <is>
          <t>BSN10R</t>
        </is>
      </c>
      <c r="E71" s="46" t="n">
        <v>1</v>
      </c>
      <c r="F71" s="46" t="inlineStr">
        <is>
          <t>—</t>
        </is>
      </c>
      <c r="G71" s="45" t="n"/>
      <c r="H71" s="45" t="n"/>
      <c r="I71" s="45" t="inlineStr">
        <is>
          <t>持参</t>
        </is>
      </c>
    </row>
    <row r="72">
      <c r="A72" s="45" t="inlineStr">
        <is>
          <t>光学システム</t>
        </is>
      </c>
      <c r="B72" s="45" t="inlineStr">
        <is>
          <t>アクロマティックダブルレンズ？</t>
        </is>
      </c>
      <c r="C72" s="45" t="inlineStr">
        <is>
          <t>Thorlabs</t>
        </is>
      </c>
      <c r="D72" s="45" t="inlineStr">
        <is>
          <t>AC254-200-A-ML</t>
        </is>
      </c>
      <c r="E72" s="46" t="n">
        <v>1</v>
      </c>
      <c r="F72" s="46" t="inlineStr">
        <is>
          <t>—</t>
        </is>
      </c>
      <c r="G72" s="45" t="n"/>
      <c r="H72" s="45" t="n"/>
      <c r="I72" s="45" t="inlineStr">
        <is>
          <t>持参</t>
        </is>
      </c>
    </row>
    <row r="73">
      <c r="A73" s="45" t="inlineStr">
        <is>
          <t>光学システム</t>
        </is>
      </c>
      <c r="B73" s="45" t="inlineStr">
        <is>
          <t>NDフィルター</t>
        </is>
      </c>
      <c r="C73" s="45" t="inlineStr">
        <is>
          <t>Thorlabs</t>
        </is>
      </c>
      <c r="D73" s="45" t="inlineStr">
        <is>
          <t>NE10A-A / NE20A-A</t>
        </is>
      </c>
      <c r="E73" s="46" t="n">
        <v>2</v>
      </c>
      <c r="F73" s="46" t="inlineStr">
        <is>
          <t>—</t>
        </is>
      </c>
      <c r="G73" s="45" t="n"/>
      <c r="H73" s="45" t="n"/>
      <c r="I73" s="45" t="inlineStr">
        <is>
          <t>持参</t>
        </is>
      </c>
    </row>
    <row r="74">
      <c r="A74" s="45" t="inlineStr">
        <is>
          <t>光学システム</t>
        </is>
      </c>
      <c r="B74" s="45" t="inlineStr">
        <is>
          <t>ゴーグル</t>
        </is>
      </c>
      <c r="C74" s="45" t="n"/>
      <c r="D74" s="45" t="n"/>
      <c r="E74" s="46" t="n"/>
      <c r="F74" s="46" t="inlineStr">
        <is>
          <t>—</t>
        </is>
      </c>
      <c r="G74" s="45" t="n"/>
      <c r="H74" s="45" t="n"/>
      <c r="I74" s="45" t="inlineStr">
        <is>
          <t>持参（レーザーと同梱しない）</t>
        </is>
      </c>
    </row>
    <row r="75">
      <c r="A75" s="45" t="inlineStr">
        <is>
          <t>検出システム</t>
        </is>
      </c>
      <c r="B75" s="45" t="inlineStr">
        <is>
          <t>CMOSカメラ</t>
        </is>
      </c>
      <c r="C75" s="45" t="inlineStr">
        <is>
          <t>Thorlabs</t>
        </is>
      </c>
      <c r="D75" s="45" t="inlineStr">
        <is>
          <t>CS165MU1/M</t>
        </is>
      </c>
      <c r="E75" s="46" t="n">
        <v>1</v>
      </c>
      <c r="F75" s="46" t="inlineStr">
        <is>
          <t>—</t>
        </is>
      </c>
      <c r="G75" s="45" t="n"/>
      <c r="H75" s="45" t="n"/>
      <c r="I75" s="45" t="inlineStr">
        <is>
          <t>広視野（Wide-field）ODMR観察用 / 持参</t>
        </is>
      </c>
    </row>
  </sheetData>
  <mergeCells count="1">
    <mergeCell ref="A2:I2"/>
  </mergeCells>
  <printOptions horizontalCentered="0"/>
  <pageMargins left="0.4" right="0.4" top="0.5" bottom="0.5" header="0.2" footer="0.2"/>
  <pageSetup orientation="landscape" paperSize="9" fitToHeight="0" fitToWidth="1"/>
  <headerFooter>
    <oddHeader/>
    <oddFooter>&amp;C&amp;P / &amp;N ページ&amp;R&amp;D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B35"/>
  <sheetViews>
    <sheetView showGridLines="0" workbookViewId="0">
      <selection activeCell="A1" sqref="A1"/>
    </sheetView>
  </sheetViews>
  <sheetFormatPr baseColWidth="8" defaultRowHeight="15"/>
  <cols>
    <col width="4" customWidth="1" min="1" max="1"/>
    <col width="88" customWidth="1" min="2" max="2"/>
  </cols>
  <sheetData>
    <row r="2">
      <c r="B2" s="42" t="inlineStr">
        <is>
          <t>レーザーとマイクロ波アンプの機内持込 — 実現性の評価</t>
        </is>
      </c>
    </row>
    <row r="4">
      <c r="B4" s="62" t="inlineStr">
        <is>
          <t>結論</t>
        </is>
      </c>
    </row>
    <row r="6">
      <c r="B6" s="43" t="inlineStr">
        <is>
          <t>どちらも「規則上は持込可能、実務上は保安検査の裁量が唯一の障壁」。レーザーは準備次第で通る見込み、マイクロ波アンプはほぼ問題なく通る。ただし乗継便のため、出発地・経由国・ドイツの3回の保安検査を通ることになり、経由国が最も読みにくい。</t>
        </is>
      </c>
    </row>
    <row r="7">
      <c r="B7" s="62" t="inlineStr">
        <is>
          <t>1. レーザー（CNI MLL-S-532B-300mW）</t>
        </is>
      </c>
    </row>
    <row r="9">
      <c r="B9" s="43" t="inlineStr">
        <is>
          <t>・危険物該当性：DPSSレーザーでリチウム電池も高圧ガスも含まないため、IATA危険物規則上は該当なし。この点で持込を妨げる規則は存在しない。</t>
        </is>
      </c>
    </row>
    <row r="10">
      <c r="B10" s="43" t="inlineStr">
        <is>
          <t>・実際の障壁：保安検査官が「高出力レーザーポインタ」と判断した場合の任意放棄要求。300mW/532nm はクラス3Bにあたり、国によっては一般人の所持が規制される出力帯にあるため、研究機材であることをその場で示せるかが分かれ目になる。</t>
        </is>
      </c>
    </row>
    <row r="11">
      <c r="B11" s="43" t="inlineStr">
        <is>
          <t>・準備すべきもの（すべて英文・紙で携行）：</t>
        </is>
      </c>
    </row>
    <row r="12">
      <c r="B12" s="43" t="inlineStr">
        <is>
          <t>・所属機関発行の英文レター（研究目的、渡航先の受入機関名、機材名と型番を明記）</t>
        </is>
      </c>
    </row>
    <row r="13">
      <c r="B13" s="43" t="inlineStr">
        <is>
          <t>・メーカー仕様書（波長・出力・クラス分類が読み取れるページ）</t>
        </is>
      </c>
    </row>
    <row r="14">
      <c r="B14" s="43" t="inlineStr">
        <is>
          <t>・受入側（ドイツ）研究室からの受入証明またはメール printout</t>
        </is>
      </c>
    </row>
    <row r="15">
      <c r="B15" s="43" t="inlineStr">
        <is>
          <t>・購入証明・インボイス（一時輸出であること、再輸入予定を示せると望ましい）</t>
        </is>
      </c>
    </row>
    <row r="16">
      <c r="B16" s="43" t="inlineStr">
        <is>
          <t>・レーザー保護メガネ（研究用途であることの傍証になる）</t>
        </is>
      </c>
    </row>
    <row r="17">
      <c r="B17" s="43" t="inlineStr">
        <is>
          <t>・運用上のコツ：ヘッドと電源部を分けて機内持込バッグの取り出しやすい位置に入れ、検査時に自分から申告して書類を出す。黙って通そうとすると心証が悪く不利になる。また、機内での通電・動作は絶対にしないこと。</t>
        </is>
      </c>
    </row>
    <row r="18">
      <c r="B18" s="43" t="inlineStr">
        <is>
          <t>・輸出管理：別表第1第6項（貨物等省令第6条）の対象カテゴリ。CW 532nm・300mW は規制のしきい値を下回り非該当となる公算が大きいが、これは推定であり、CNI に該非判定書（パラメータシート）を必ず請求すること。手荷物での持出も輸出に当たるため、発送であれ持参であれ該非判定は同じく必要。</t>
        </is>
      </c>
    </row>
    <row r="19">
      <c r="B19" s="43" t="inlineStr">
        <is>
          <t>・実現性の評価：準備を揃えれば十分に現実的。ただし経由国での没収リスクはゼロにできないため、「万一失った場合に現地で代替をレンタル／購入できるか」を事前に受入研究室と確認しておくと安全。</t>
        </is>
      </c>
    </row>
    <row r="20">
      <c r="B20" s="62" t="inlineStr">
        <is>
          <t>2. マイクロ波アンプ（Mini-Circuits ZHL-16W-43-S）</t>
        </is>
      </c>
    </row>
    <row r="22">
      <c r="B22" s="43" t="inlineStr">
        <is>
          <t>・危険物該当性：電池・ガスを含まない受動的な金属筐体の電子機器で、該当なし。</t>
        </is>
      </c>
    </row>
    <row r="23">
      <c r="B23" s="43" t="inlineStr">
        <is>
          <t>・実際の障壁：ほぼない。密度の高い金属塊なのでX線画像で不透明に写り、開披検査になる可能性は高いが、蓋を開けて仕様書を見せれば通る。重量2kg前後で手荷物重量制限内。</t>
        </is>
      </c>
    </row>
    <row r="24">
      <c r="B24" s="43" t="inlineStr">
        <is>
          <t>・準備すべきもの：メーカーのデータシート（英文）と、レーザーと同じ所属機関レター。</t>
        </is>
      </c>
    </row>
    <row r="25">
      <c r="B25" s="43" t="inlineStr">
        <is>
          <t>・輸出管理：別表第1第9項（貨物等省令第8条）。増幅器は動作周波数帯と出力によって該当し得るため、Mini-Circuits から該非判定書または ECCN の回答を取ること（要確認）。</t>
        </is>
      </c>
    </row>
    <row r="26">
      <c r="B26" s="43" t="inlineStr">
        <is>
          <t>・実現性の評価：高い。レーザーより優先度を下げてよい。</t>
        </is>
      </c>
    </row>
    <row r="27">
      <c r="B27" s="62" t="inlineStr">
        <is>
          <t>3. 併せて注意すべき品目</t>
        </is>
      </c>
    </row>
    <row r="29">
      <c r="B29" s="43" t="inlineStr">
        <is>
          <t>・信号発生器 Windfreak SynthHD：広帯域シンセサイザで、本リスト中もっとも第9項該当のリスクが高い。輸送の可否ではなく輸出許可の要否が問題になるため、該非判定書の取得を最優先で進めること。該当すると判定された場合、発送・持参いずれでも経済産業大臣の許可が必要になり、取得に数週間かかるのでスケジュールに影響する。</t>
        </is>
      </c>
    </row>
    <row r="30">
      <c r="B30" s="43" t="inlineStr">
        <is>
          <t>・ベリリウム銅DAC：ベリリウム合金は含有率次第で別表第1第2項の対象になり得る。借用元に材質証明（Be含有率）を確認すること。</t>
        </is>
      </c>
    </row>
    <row r="31">
      <c r="B31" s="43" t="inlineStr">
        <is>
          <t>・アラルダイト：接着剤は硬化剤側が危険物に該当し得るため持込・預入とも不可。現地調達が現実的。</t>
        </is>
      </c>
    </row>
    <row r="32">
      <c r="B32" s="43" t="inlineStr">
        <is>
          <t>・電源電圧：日本の100V機（DC電源 PWR401L、はんだごて、LEDドライバー用電源）はドイツの230Vでそのまま使えない。変圧器を用意するか、現地で230V対応品を調達する方が結果的に安く済む場合がある。</t>
        </is>
      </c>
    </row>
    <row r="33">
      <c r="B33" s="62" t="inlineStr">
        <is>
          <t>4. 免責</t>
        </is>
      </c>
    </row>
    <row r="35">
      <c r="B35" s="43" t="inlineStr">
        <is>
          <t>本メモの輸出令項番はいずれも公開仕様からの推定であり、該非判定の最終結論ではない。申請にあたっては各メーカーの該非判定書を取得し、所属機関の輸出管理担当部署の確認を受けること。航空会社の持込可否も最終的には当日の運送人および保安当局の判断による。</t>
        </is>
      </c>
    </row>
  </sheetData>
  <printOptions horizontalCentered="0"/>
  <pageMargins left="0.4" right="0.4" top="0.5" bottom="0.5" header="0.2" footer="0.2"/>
  <pageSetup orientation="portrait" paperSize="9" fitToHeight="0" fitToWidth="1"/>
  <headerFooter>
    <oddHeader/>
    <oddFooter>&amp;C&amp;P / &amp;N ページ&amp;R&amp;D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2026-07-27T02:27:14Z</dcterms:created>
  <dcterms:modified xsi:type="dcterms:W3CDTF">2026-07-30T04:32:33Z</dcterms:modified>
</cp:coreProperties>
</file>